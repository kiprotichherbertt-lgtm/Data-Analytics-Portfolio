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Herbert.cheruiyot\Downloads\Hospital_Data_Analytics\Excel Projects\Week 1-hospital Admissions\Cleaned_Data\"/>
    </mc:Choice>
  </mc:AlternateContent>
  <xr:revisionPtr revIDLastSave="0" documentId="13_ncr:1_{0D41C55B-B436-4B79-9D13-612BCB9F7D35}" xr6:coauthVersionLast="36" xr6:coauthVersionMax="36" xr10:uidLastSave="{00000000-0000-0000-0000-000000000000}"/>
  <bookViews>
    <workbookView xWindow="0" yWindow="0" windowWidth="15360" windowHeight="6585" activeTab="3" xr2:uid="{00000000-000D-0000-FFFF-FFFF00000000}"/>
  </bookViews>
  <sheets>
    <sheet name="Hospital_Admissions" sheetId="3" r:id="rId1"/>
    <sheet name="Pivot_Analysis" sheetId="4" state="hidden" r:id="rId2"/>
    <sheet name="Insights Summary" sheetId="8" state="hidden" r:id="rId3"/>
    <sheet name="Dashboard" sheetId="9" r:id="rId4"/>
  </sheets>
  <definedNames>
    <definedName name="Slicer_Department">#N/A</definedName>
    <definedName name="Slicer_Doctor_Assigned">#N/A</definedName>
    <definedName name="Slicer_Month_Name">#N/A</definedName>
    <definedName name="Slicer_Outco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8" i="9" l="1"/>
  <c r="B57" i="9"/>
  <c r="B56" i="9"/>
  <c r="B5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BF2B5B-0F20-47CF-9C82-4620E98D692D}" keepAlive="1" name="Query - Cleaned_Hospital_Admissions Final" description="Connection to the 'Cleaned_Hospital_Admissions Final' query in the workbook." type="5" refreshedVersion="6" background="1" saveData="1">
    <dbPr connection="Provider=Microsoft.Mashup.OleDb.1;Data Source=$Workbook$;Location=Cleaned_Hospital_Admissions Final;Extended Properties=&quot;&quot;" command="SELECT * FROM [Cleaned_Hospital_Admissions Final]"/>
  </connection>
</connections>
</file>

<file path=xl/sharedStrings.xml><?xml version="1.0" encoding="utf-8"?>
<sst xmlns="http://schemas.openxmlformats.org/spreadsheetml/2006/main" count="1331" uniqueCount="259">
  <si>
    <t>Patient ID</t>
  </si>
  <si>
    <t>Department</t>
  </si>
  <si>
    <t>Admission Date</t>
  </si>
  <si>
    <t>Discharge Date</t>
  </si>
  <si>
    <t>Diagnosis</t>
  </si>
  <si>
    <t>Doctor Assigned</t>
  </si>
  <si>
    <t>Treatment Cost</t>
  </si>
  <si>
    <t>Outcome</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</si>
  <si>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</si>
  <si>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</si>
  <si>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</si>
  <si>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</si>
  <si>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</si>
  <si>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</si>
  <si>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</si>
  <si>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</si>
  <si>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</si>
  <si>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</si>
  <si>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</si>
  <si>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</si>
  <si>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</si>
  <si>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</si>
  <si>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</si>
  <si>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</si>
  <si>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</si>
  <si>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</si>
  <si>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</si>
  <si>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</si>
  <si>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</si>
  <si>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</si>
  <si>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</si>
  <si>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</si>
  <si>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</si>
  <si>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</si>
  <si>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</si>
  <si>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</si>
  <si>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</si>
  <si>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</si>
  <si>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</si>
  <si>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</si>
  <si>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</si>
  <si>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</si>
  <si>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</si>
  <si>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</si>
  <si>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</si>
  <si>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</si>
  <si>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</si>
  <si>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</si>
  <si>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</si>
  <si>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</si>
  <si>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</si>
  <si>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</si>
  <si>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</si>
  <si>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</si>
  <si>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</si>
  <si>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</si>
  <si>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</si>
  <si>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</si>
  <si>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</si>
  <si>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</si>
  <si>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</si>
  <si>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</si>
  <si>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</si>
  <si>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</si>
  <si>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</si>
  <si>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</si>
  <si>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</si>
  <si>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</si>
  <si>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</si>
  <si>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</si>
  <si>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</si>
  <si>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</si>
  <si>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</si>
  <si>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</si>
  <si>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</si>
  <si>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</si>
  <si>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</si>
  <si>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</si>
  <si>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</si>
  <si>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</si>
  <si>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</si>
  <si>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</si>
  <si>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</si>
  <si>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</si>
  <si>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</si>
  <si>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</si>
  <si>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</si>
  <si>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</si>
  <si>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</si>
  <si>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</si>
  <si>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</si>
  <si>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</si>
  <si>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</si>
  <si>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</si>
  <si>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</si>
  <si>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</si>
  <si>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</si>
  <si>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</si>
  <si>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</si>
  <si>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</si>
  <si>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</si>
  <si>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</si>
  <si>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</si>
  <si>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</si>
  <si>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</si>
  <si>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</si>
  <si>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</si>
  <si>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</si>
  <si>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</si>
  <si>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</si>
  <si>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</si>
  <si>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</si>
  <si>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</si>
  <si>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</si>
  <si>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</si>
  <si>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</si>
  <si>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</si>
  <si>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</si>
  <si>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</si>
  <si>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</si>
  <si>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</si>
  <si>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</si>
  <si>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</si>
  <si>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</si>
  <si>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</si>
  <si>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</si>
  <si>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</si>
  <si>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</si>
  <si>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</si>
  <si>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</si>
  <si>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</si>
  <si>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</si>
  <si>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</si>
  <si>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</si>
  <si>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</si>
  <si>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</si>
  <si>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</si>
  <si>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</si>
  <si>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</si>
  <si>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</si>
  <si>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</si>
  <si>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</si>
  <si>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</si>
  <si>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</si>
  <si>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</si>
  <si>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</si>
  <si>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</si>
  <si>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</si>
  <si>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</si>
  <si>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</si>
  <si>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</si>
  <si>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</si>
  <si>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</si>
  <si>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</si>
  <si>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</si>
  <si>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</si>
  <si>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</si>
  <si>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</si>
  <si>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Orthopedics</t>
  </si>
  <si>
    <t>General Medicine</t>
  </si>
  <si>
    <t>Pediatrics</t>
  </si>
  <si>
    <t>Oncology</t>
  </si>
  <si>
    <t>Maternity</t>
  </si>
  <si>
    <t>Surgery</t>
  </si>
  <si>
    <t>Cardiology</t>
  </si>
  <si>
    <t>Dislocation</t>
  </si>
  <si>
    <t>Flu</t>
  </si>
  <si>
    <t>Pneumonia</t>
  </si>
  <si>
    <t>Leukemia</t>
  </si>
  <si>
    <t>Breast Cancer</t>
  </si>
  <si>
    <t>Dehydration</t>
  </si>
  <si>
    <t>Preeclampsia</t>
  </si>
  <si>
    <t>Hernia</t>
  </si>
  <si>
    <t>Migraine</t>
  </si>
  <si>
    <t>Arthritis</t>
  </si>
  <si>
    <t>Prostate Cancer</t>
  </si>
  <si>
    <t>Arrhythmia</t>
  </si>
  <si>
    <t>Gallstones</t>
  </si>
  <si>
    <t>Malaria</t>
  </si>
  <si>
    <t>Gastroenteritis</t>
  </si>
  <si>
    <t>Hypertension</t>
  </si>
  <si>
    <t>Normal Delivery</t>
  </si>
  <si>
    <t>Appendicitis</t>
  </si>
  <si>
    <t>C-Section</t>
  </si>
  <si>
    <t>Fracture</t>
  </si>
  <si>
    <t>Sprain</t>
  </si>
  <si>
    <t>Fracture Repair</t>
  </si>
  <si>
    <t>Angina</t>
  </si>
  <si>
    <t>Bronchitis</t>
  </si>
  <si>
    <t>Heart Failure</t>
  </si>
  <si>
    <t>Preterm Labor</t>
  </si>
  <si>
    <t>Lymphoma</t>
  </si>
  <si>
    <t>Diabetes</t>
  </si>
  <si>
    <t>Dr Kiprono</t>
  </si>
  <si>
    <t>Dr Muriithi</t>
  </si>
  <si>
    <t>Dr Kibet</t>
  </si>
  <si>
    <t>Dr Oduor</t>
  </si>
  <si>
    <t>Dr Atieno</t>
  </si>
  <si>
    <t>Dr Otieno</t>
  </si>
  <si>
    <t>Dr Kamau</t>
  </si>
  <si>
    <t>Dr Cheruiyot</t>
  </si>
  <si>
    <t>Dr Mwangi</t>
  </si>
  <si>
    <t>Dr Mutua</t>
  </si>
  <si>
    <t>Dr Achieng</t>
  </si>
  <si>
    <t>Dr Wanjiru</t>
  </si>
  <si>
    <t>Dr Njoroge</t>
  </si>
  <si>
    <t>Dr Korir</t>
  </si>
  <si>
    <t>Recovered</t>
  </si>
  <si>
    <t>Referred</t>
  </si>
  <si>
    <t>Deceased</t>
  </si>
  <si>
    <t>Lenght Of Stay</t>
  </si>
  <si>
    <t>Cost Flag</t>
  </si>
  <si>
    <t>Normal</t>
  </si>
  <si>
    <t>Expensive</t>
  </si>
  <si>
    <t>Month Name</t>
  </si>
  <si>
    <t>Stay Category</t>
  </si>
  <si>
    <t>January</t>
  </si>
  <si>
    <t>Medium Stay</t>
  </si>
  <si>
    <t>Still Admitted</t>
  </si>
  <si>
    <t>February</t>
  </si>
  <si>
    <t>Long Stay</t>
  </si>
  <si>
    <t>March</t>
  </si>
  <si>
    <t>Short Stay</t>
  </si>
  <si>
    <t>April</t>
  </si>
  <si>
    <t>Row Labels</t>
  </si>
  <si>
    <t>Grand Total</t>
  </si>
  <si>
    <t>Admissions by Department</t>
  </si>
  <si>
    <t>Average of Treatment Cost</t>
  </si>
  <si>
    <t>Number of Patients</t>
  </si>
  <si>
    <t>Average Treatment Cost per Department</t>
  </si>
  <si>
    <t>Insight: Which departments have the highest patient load?</t>
  </si>
  <si>
    <t>Insight: What proportion of patients are short/medium/long stay?</t>
  </si>
  <si>
    <t>Admissions by Stay Category</t>
  </si>
  <si>
    <t>Patient Outcome</t>
  </si>
  <si>
    <r>
      <t>Insight:</t>
    </r>
    <r>
      <rPr>
        <b/>
        <sz val="11"/>
        <color theme="1"/>
        <rFont val="Calibri"/>
        <family val="2"/>
        <scheme val="minor"/>
      </rPr>
      <t xml:space="preserve"> What % were discharged, referred, or deceased?</t>
    </r>
  </si>
  <si>
    <t>Patient Outcomes Summary</t>
  </si>
  <si>
    <t>Admissions by Month</t>
  </si>
  <si>
    <t>Number Of Patients</t>
  </si>
  <si>
    <t>1.Departmental Workload:</t>
  </si>
  <si>
    <t>83% of patients were treated and discharged. Referrals remained &lt; 20% , implying good hospital services at the facility.</t>
  </si>
  <si>
    <t>Count of  ID</t>
  </si>
  <si>
    <t xml:space="preserve"> </t>
  </si>
  <si>
    <t>2️ Cost Analysis:</t>
  </si>
  <si>
    <t>3.Stay Duration:</t>
  </si>
  <si>
    <t>4.Outcome Trends:</t>
  </si>
  <si>
    <t>Admissions were closely similar across majority of departments such as General medicine,Maternity,Oncolgy  and Pedriatrics with each having a percentage of 16%, accounting for over 45% of total cases — suggesting higher patient dependency and resource demand.</t>
  </si>
  <si>
    <t>Average treatment costs were highest in the Cardiology and Orthopedics departments, consistent with procedures requiring specialized care.Pedtriatics had the lowest of all the departments.</t>
  </si>
  <si>
    <t>52% of patients had a long stay with majority(10%) being on Oncology department, 22% of patients had medium stays of &lt; 7 days with majority staying in Maternity.20% were admitted for a short period.</t>
  </si>
  <si>
    <t>Metric</t>
  </si>
  <si>
    <t>Formula</t>
  </si>
  <si>
    <t>Total Admissions</t>
  </si>
  <si>
    <t>Date Range</t>
  </si>
  <si>
    <t>KPI Calculations.</t>
  </si>
  <si>
    <t>Result Cell</t>
  </si>
  <si>
    <t>Average Treatment Cost</t>
  </si>
  <si>
    <t>Average Length of Stay</t>
  </si>
  <si>
    <t>Count of Patient ID</t>
  </si>
  <si>
    <t>Admissions Count</t>
  </si>
  <si>
    <t>Date Range Of Admissions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</si>
</sst>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Ksh&quot;* #,##0.00_-;\-&quot;Ksh&quot;* #,##0.00_-;_-&quot;Ksh&quot;* &quot;-&quot;??_-;_-@_-"/>
    <numFmt numFmtId="43" formatCode="_-* #,##0.00_-;\-* #,##0.00_-;_-* &quot;-&quot;??_-;_-@_-"/>
    <numFmt numFmtId="164" formatCode="_-* #,##0_-;\-* #,##0_-;_-* &quot;-&quot;??_-;_-@_-"/>
    <numFmt numFmtId="165" formatCode="&quot;Ksh&quot;#,##0.00"/>
    <numFmt numFmtId="166" formatCode="_-&quot;Ksh&quot;* #,##0_-;\-&quot;Ksh&quot;* #,##0_-;_-&quot;Ksh&quot;* &quot;-&quot;??_-;_-@_-"/>
  </numFmts>
  <fonts count="6" x14ac:knownFonts="1">
    <font>
      <sz val="11"/>
      <color theme="1"/>
      <name val="Calibri"/>
      <family val="2"/>
      <scheme val="minor"/>
    </font>
    <font>
      <b/>
      <sz val="11"/>
      <color theme="0"/>
      <name val="Calibri"/>
      <family val="2"/>
      <scheme val="minor"/>
    </font>
    <font>
      <b/>
      <sz val="11"/>
      <color theme="1"/>
      <name val="Calibri"/>
      <family val="2"/>
      <scheme val="minor"/>
    </font>
    <font>
      <b/>
      <i/>
      <sz val="11"/>
      <color theme="1"/>
      <name val="Calibri"/>
      <family val="2"/>
      <scheme val="minor"/>
    </font>
    <font>
      <sz val="11"/>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2" tint="-9.9978637043366805E-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0"/>
        <bgColor indexed="64"/>
      </patternFill>
    </fill>
  </fills>
  <borders count="2">
    <border>
      <left/>
      <right/>
      <top/>
      <bottom/>
      <diagonal/>
    </border>
    <border>
      <left/>
      <right/>
      <top style="thin">
        <color theme="9" tint="0.39997558519241921"/>
      </top>
      <bottom/>
      <diagonal/>
    </border>
  </borders>
  <cellStyleXfs count="3">
    <xf numFmtId="0" fontId="0" fillId="0" borderId="0"/>
    <xf numFmtId="43" fontId="4" fillId="0" borderId="0" applyFont="0" applyFill="0" applyBorder="0" applyAlignment="0" applyProtection="0"/>
    <xf numFmtId="44" fontId="4" fillId="0" borderId="0" applyFont="0" applyFill="0" applyBorder="0" applyAlignment="0" applyProtection="0"/>
  </cellStyleXfs>
  <cellXfs count="36">
    <xf numFmtId="0" fontId="0" fillId="0" borderId="0" xfId="0"/>
    <xf numFmtId="0" fontId="0" fillId="3" borderId="1" xfId="0" applyFont="1" applyFill="1" applyBorder="1"/>
    <xf numFmtId="0" fontId="0" fillId="0" borderId="1" xfId="0" applyFont="1" applyBorder="1"/>
    <xf numFmtId="0" fontId="1" fillId="2" borderId="0" xfId="0" applyFont="1" applyFill="1" applyBorder="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44" fontId="0" fillId="0" borderId="0" xfId="0" applyNumberFormat="1"/>
    <xf numFmtId="0" fontId="3" fillId="0" borderId="0" xfId="0" applyFont="1"/>
    <xf numFmtId="9" fontId="0" fillId="0" borderId="0" xfId="0" applyNumberFormat="1"/>
    <xf numFmtId="10" fontId="0" fillId="0" borderId="0" xfId="0" applyNumberFormat="1"/>
    <xf numFmtId="0" fontId="2" fillId="4" borderId="0" xfId="0" applyFont="1" applyFill="1"/>
    <xf numFmtId="0" fontId="0" fillId="4" borderId="0" xfId="0" applyFill="1"/>
    <xf numFmtId="0" fontId="0" fillId="0" borderId="0" xfId="0" applyFill="1"/>
    <xf numFmtId="0" fontId="0" fillId="6" borderId="0" xfId="0" applyFill="1"/>
    <xf numFmtId="0" fontId="2" fillId="5" borderId="0" xfId="0" applyFont="1" applyFill="1"/>
    <xf numFmtId="165" fontId="0" fillId="6" borderId="0" xfId="0" applyNumberFormat="1" applyFill="1"/>
    <xf numFmtId="1" fontId="0" fillId="6" borderId="0" xfId="1" applyNumberFormat="1" applyFont="1" applyFill="1"/>
    <xf numFmtId="14" fontId="1" fillId="2" borderId="0" xfId="0" applyNumberFormat="1" applyFont="1" applyFill="1" applyBorder="1"/>
    <xf numFmtId="14" fontId="0" fillId="3" borderId="1" xfId="0" applyNumberFormat="1" applyFont="1" applyFill="1" applyBorder="1"/>
    <xf numFmtId="14" fontId="0" fillId="0" borderId="1" xfId="0" applyNumberFormat="1" applyFont="1" applyBorder="1"/>
    <xf numFmtId="14" fontId="0" fillId="0" borderId="0" xfId="0" applyNumberFormat="1"/>
    <xf numFmtId="0" fontId="0" fillId="0" borderId="0" xfId="0" applyBorder="1"/>
    <xf numFmtId="0" fontId="0" fillId="0" borderId="0" xfId="0" applyFill="1" applyBorder="1"/>
    <xf numFmtId="0" fontId="0" fillId="7" borderId="0" xfId="0" applyFill="1"/>
    <xf numFmtId="0" fontId="0" fillId="7" borderId="0" xfId="0" applyFill="1" applyBorder="1"/>
    <xf numFmtId="164" fontId="0" fillId="0" borderId="0" xfId="0" applyNumberFormat="1"/>
    <xf numFmtId="166" fontId="1" fillId="2" borderId="0" xfId="0" applyNumberFormat="1" applyFont="1" applyFill="1" applyBorder="1"/>
    <xf numFmtId="166" fontId="0" fillId="0" borderId="0" xfId="0" applyNumberFormat="1"/>
    <xf numFmtId="165" fontId="0" fillId="3" borderId="1" xfId="2" applyNumberFormat="1" applyFont="1" applyFill="1" applyBorder="1"/>
    <xf numFmtId="165" fontId="0" fillId="0" borderId="1" xfId="2" applyNumberFormat="1" applyFont="1" applyBorder="1"/>
    <xf numFmtId="166" fontId="0" fillId="0" borderId="0" xfId="2" applyNumberFormat="1" applyFont="1"/>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wrapText="1"/>
    </xf>
  </cellXfs>
  <cellStyles count="3">
    <cellStyle name="Comma" xfId="1" builtinId="3"/>
    <cellStyle name="Currency" xfId="2" builtinId="4"/>
    <cellStyle name="Normal" xfId="0" builtinId="0"/>
  </cellStyles>
  <dxfs count="27">
    <dxf>
      <numFmt numFmtId="14" formatCode="0.00%"/>
    </dxf>
    <dxf>
      <numFmt numFmtId="164" formatCode="_-* #,##0_-;\-* #,##0_-;_-* &quot;-&quot;??_-;_-@_-"/>
    </dxf>
    <dxf>
      <numFmt numFmtId="164" formatCode="_-* #,##0_-;\-* #,##0_-;_-* &quot;-&quot;??_-;_-@_-"/>
    </dxf>
    <dxf>
      <numFmt numFmtId="166" formatCode="_-&quot;Ksh&quot;* #,##0_-;\-&quot;Ksh&quot;* #,##0_-;_-&quot;Ksh&quot;* &quot;-&quot;??_-;_-@_-"/>
    </dxf>
    <dxf>
      <numFmt numFmtId="13" formatCode="0%"/>
    </dxf>
    <dxf>
      <numFmt numFmtId="13" formatCode="0%"/>
    </dxf>
    <dxf>
      <numFmt numFmtId="13" formatCode="0%"/>
    </dxf>
    <dxf>
      <numFmt numFmtId="14" formatCode="0.00%"/>
    </dxf>
    <dxf>
      <numFmt numFmtId="13" formatCode="0%"/>
    </dxf>
    <dxf>
      <numFmt numFmtId="14" formatCode="0.00%"/>
    </dxf>
    <dxf>
      <numFmt numFmtId="14" formatCode="0.00%"/>
    </dxf>
    <dxf>
      <numFmt numFmtId="164" formatCode="_-* #,##0_-;\-* #,##0_-;_-* &quot;-&quot;??_-;_-@_-"/>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5" formatCode="&quot;Ksh&quot;#,##0.0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9" defaultPivotStyle="PivotStyleLight16"/>
  <colors>
    <mruColors>
      <color rgb="FFF9A7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[Hospital_Admissions_Cleaning_final.xlsx]Dashboard!PivotTable1</c:name>
    <c:fmtId val="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i="0" u="none" strike="noStrike" baseline="0">
                <a:solidFill>
                  <a:schemeClr val="tx1"/>
                </a:solidFill>
              </a:rPr>
              <a:t>Admissions by Department</a:t>
            </a:r>
            <a:endParaRPr lang="en-US" sz="1800" b="1">
              <a:solidFill>
                <a:schemeClr val="tx1"/>
              </a:solidFill>
            </a:endParaRPr>
          </a:p>
        </c:rich>
      </c:tx>
      <c:layout>
        <c:manualLayout>
          <c:xMode val="edge"/>
          <c:yMode val="edge"/>
          <c:x val="0.31607916349719084"/>
          <c:y val="1.121605597547893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397268596658"/>
          <c:y val="0.11623572675921336"/>
          <c:w val="0.86049934696068642"/>
          <c:h val="0.73353153271967864"/>
        </c:manualLayout>
      </c:layout>
      <c:barChart>
        <c:barDir val="col"/>
        <c:grouping val="clustered"/>
        <c:varyColors val="0"/>
        <c:ser>
          <c:idx val="0"/>
          <c:order val="0"/>
          <c:tx>
            <c:strRef>
              <c:f>Dashboard!$B$6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Dashboard!$A$7:$A$14</c:f>
              <c:strCache>
                <c:ptCount val="7"/>
                <c:pt idx="0">
                  <c:v>Cardiology</c:v>
                </c:pt>
                <c:pt idx="1">
                  <c:v>General Medicine</c:v>
                </c:pt>
                <c:pt idx="2">
                  <c:v>Maternity</c:v>
                </c:pt>
                <c:pt idx="3">
                  <c:v>Oncology</c:v>
                </c:pt>
                <c:pt idx="4">
                  <c:v>Orthopedics</c:v>
                </c:pt>
                <c:pt idx="5">
                  <c:v>Pediatrics</c:v>
                </c:pt>
                <c:pt idx="6">
                  <c:v>Surgery</c:v>
                </c:pt>
              </c:strCache>
            </c:strRef>
          </c:cat>
          <c:val>
            <c:numRef>
              <c:f>Dashboard!$B$7:$B$14</c:f>
              <c:numCache>
                <c:formatCode>0%</c:formatCode>
                <c:ptCount val="7"/>
                <c:pt idx="0">
                  <c:v>9.3333333333333338E-2</c:v>
                </c:pt>
                <c:pt idx="1">
                  <c:v>0.16666666666666666</c:v>
                </c:pt>
                <c:pt idx="2">
                  <c:v>0.16</c:v>
                </c:pt>
                <c:pt idx="3">
                  <c:v>0.16</c:v>
                </c:pt>
                <c:pt idx="4">
                  <c:v>0.13333333333333333</c:v>
                </c:pt>
                <c:pt idx="5">
                  <c:v>0.16</c:v>
                </c:pt>
                <c:pt idx="6">
                  <c:v>0.12666666666666668</c:v>
                </c:pt>
              </c:numCache>
            </c:numRef>
          </c:val>
          <c:extLst>
            <c:ext xmlns:c16="http://schemas.microsoft.com/office/drawing/2014/chart" uri="{C3380CC4-5D6E-409C-BE32-E72D297353CC}">
              <c16:uniqueId val="{00000000-E16A-493B-8E85-2862B1A91361}"/>
            </c:ext>
          </c:extLst>
        </c:ser>
        <c:dLbls>
          <c:dLblPos val="outEnd"/>
          <c:showLegendKey val="0"/>
          <c:showVal val="1"/>
          <c:showCatName val="0"/>
          <c:showSerName val="0"/>
          <c:showPercent val="0"/>
          <c:showBubbleSize val="0"/>
        </c:dLbls>
        <c:gapWidth val="219"/>
        <c:overlap val="-27"/>
        <c:axId val="102757007"/>
        <c:axId val="1495623279"/>
      </c:barChart>
      <c:catAx>
        <c:axId val="10275700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Department</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KE"/>
          </a:p>
        </c:txPr>
        <c:crossAx val="1495623279"/>
        <c:crosses val="autoZero"/>
        <c:auto val="1"/>
        <c:lblAlgn val="ctr"/>
        <c:lblOffset val="100"/>
        <c:noMultiLvlLbl val="0"/>
      </c:catAx>
      <c:valAx>
        <c:axId val="1495623279"/>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Admission Count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KE"/>
          </a:p>
        </c:txPr>
        <c:crossAx val="10275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[Hospital_Admissions_Cleaning_final.xlsx]Dashboard!PivotTable3</c:name>
    <c:fmtId val="0"/>
  </c:pivotSource>
  <c:chart>
    <c:title>
      <c:tx>
        <c:rich>
          <a:bodyPr rot="0" spcFirstLastPara="1" vertOverflow="ellipsis" vert="horz" wrap="square" anchor="ctr" anchorCtr="1"/>
          <a:lstStyle/>
          <a:p>
            <a:pPr>
              <a:defRPr lang="en-KE" sz="1600" b="1" i="0" u="none" strike="noStrike" kern="1200" spc="0" baseline="0">
                <a:solidFill>
                  <a:schemeClr val="tx1"/>
                </a:solidFill>
                <a:latin typeface="+mn-lt"/>
                <a:ea typeface="+mn-ea"/>
                <a:cs typeface="+mn-cs"/>
              </a:defRPr>
            </a:pPr>
            <a:r>
              <a:rPr lang="en-US" sz="1600" b="1"/>
              <a:t>Average Treatment Cost by Doctor</a:t>
            </a:r>
          </a:p>
        </c:rich>
      </c:tx>
      <c:overlay val="0"/>
      <c:spPr>
        <a:noFill/>
        <a:ln>
          <a:noFill/>
        </a:ln>
        <a:effectLst/>
      </c:spPr>
      <c:txPr>
        <a:bodyPr rot="0" spcFirstLastPara="1" vertOverflow="ellipsis" vert="horz" wrap="square" anchor="ctr" anchorCtr="1"/>
        <a:lstStyle/>
        <a:p>
          <a:pPr>
            <a:defRPr lang="en-KE" sz="16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KE" sz="800" b="0" i="0" u="none" strike="noStrike" kern="1200" baseline="0">
                  <a:solidFill>
                    <a:schemeClr val="tx1"/>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KE" sz="800" b="0" i="0" u="none" strike="noStrike" kern="1200" baseline="0">
                    <a:solidFill>
                      <a:schemeClr val="tx1"/>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Dashboard!$H$7:$H$21</c:f>
              <c:strCache>
                <c:ptCount val="14"/>
                <c:pt idx="0">
                  <c:v>Dr Achieng</c:v>
                </c:pt>
                <c:pt idx="1">
                  <c:v>Dr Atieno</c:v>
                </c:pt>
                <c:pt idx="2">
                  <c:v>Dr Cheruiyot</c:v>
                </c:pt>
                <c:pt idx="3">
                  <c:v>Dr Kamau</c:v>
                </c:pt>
                <c:pt idx="4">
                  <c:v>Dr Kibet</c:v>
                </c:pt>
                <c:pt idx="5">
                  <c:v>Dr Kiprono</c:v>
                </c:pt>
                <c:pt idx="6">
                  <c:v>Dr Korir</c:v>
                </c:pt>
                <c:pt idx="7">
                  <c:v>Dr Muriithi</c:v>
                </c:pt>
                <c:pt idx="8">
                  <c:v>Dr Mutua</c:v>
                </c:pt>
                <c:pt idx="9">
                  <c:v>Dr Mwangi</c:v>
                </c:pt>
                <c:pt idx="10">
                  <c:v>Dr Njoroge</c:v>
                </c:pt>
                <c:pt idx="11">
                  <c:v>Dr Oduor</c:v>
                </c:pt>
                <c:pt idx="12">
                  <c:v>Dr Otieno</c:v>
                </c:pt>
                <c:pt idx="13">
                  <c:v>Dr Wanjiru</c:v>
                </c:pt>
              </c:strCache>
            </c:strRef>
          </c:cat>
          <c:val>
            <c:numRef>
              <c:f>Dashboard!$I$7:$I$21</c:f>
              <c:numCache>
                <c:formatCode>_-"Ksh"* #,##0_-;\-"Ksh"* #,##0_-;_-"Ksh"* "-"??_-;_-@_-</c:formatCode>
                <c:ptCount val="14"/>
                <c:pt idx="0">
                  <c:v>37836.699999999997</c:v>
                </c:pt>
                <c:pt idx="1">
                  <c:v>39698.294117647056</c:v>
                </c:pt>
                <c:pt idx="2">
                  <c:v>37749.333333333336</c:v>
                </c:pt>
                <c:pt idx="3">
                  <c:v>35079.37142857143</c:v>
                </c:pt>
                <c:pt idx="4">
                  <c:v>37408.428571428572</c:v>
                </c:pt>
                <c:pt idx="5">
                  <c:v>35751.333333333336</c:v>
                </c:pt>
                <c:pt idx="6">
                  <c:v>44505.2</c:v>
                </c:pt>
                <c:pt idx="7">
                  <c:v>42442.2</c:v>
                </c:pt>
                <c:pt idx="8">
                  <c:v>33196.285714285717</c:v>
                </c:pt>
                <c:pt idx="9">
                  <c:v>31939.75</c:v>
                </c:pt>
                <c:pt idx="10">
                  <c:v>45455</c:v>
                </c:pt>
                <c:pt idx="11">
                  <c:v>39395.928571428572</c:v>
                </c:pt>
                <c:pt idx="12">
                  <c:v>46311.625</c:v>
                </c:pt>
                <c:pt idx="13">
                  <c:v>37200.199999999997</c:v>
                </c:pt>
              </c:numCache>
            </c:numRef>
          </c:val>
          <c:extLst>
            <c:ext xmlns:c16="http://schemas.microsoft.com/office/drawing/2014/chart" uri="{C3380CC4-5D6E-409C-BE32-E72D297353CC}">
              <c16:uniqueId val="{00000000-3800-405B-BBE7-9F8533F5951B}"/>
            </c:ext>
          </c:extLst>
        </c:ser>
        <c:dLbls>
          <c:dLblPos val="outEnd"/>
          <c:showLegendKey val="0"/>
          <c:showVal val="1"/>
          <c:showCatName val="0"/>
          <c:showSerName val="0"/>
          <c:showPercent val="0"/>
          <c:showBubbleSize val="0"/>
        </c:dLbls>
        <c:gapWidth val="102"/>
        <c:axId val="1496172239"/>
        <c:axId val="835524959"/>
      </c:barChart>
      <c:catAx>
        <c:axId val="1496172239"/>
        <c:scaling>
          <c:orientation val="minMax"/>
        </c:scaling>
        <c:delete val="0"/>
        <c:axPos val="l"/>
        <c:title>
          <c:tx>
            <c:rich>
              <a:bodyPr rot="-5400000" spcFirstLastPara="1" vertOverflow="ellipsis" vert="horz" wrap="square" anchor="ctr" anchorCtr="1"/>
              <a:lstStyle/>
              <a:p>
                <a:pPr>
                  <a:defRPr lang="en-KE" sz="1050" b="1" i="0" u="none" strike="noStrike" kern="1200" baseline="0">
                    <a:solidFill>
                      <a:schemeClr val="tx1"/>
                    </a:solidFill>
                    <a:latin typeface="+mn-lt"/>
                    <a:ea typeface="+mn-ea"/>
                    <a:cs typeface="+mn-cs"/>
                  </a:defRPr>
                </a:pPr>
                <a:r>
                  <a:rPr lang="en-US" sz="1050" b="1"/>
                  <a:t>Doctor Assigned</a:t>
                </a:r>
              </a:p>
            </c:rich>
          </c:tx>
          <c:overlay val="0"/>
          <c:spPr>
            <a:noFill/>
            <a:ln>
              <a:noFill/>
            </a:ln>
            <a:effectLst/>
          </c:spPr>
          <c:txPr>
            <a:bodyPr rot="-5400000" spcFirstLastPara="1" vertOverflow="ellipsis" vert="horz" wrap="square" anchor="ctr" anchorCtr="1"/>
            <a:lstStyle/>
            <a:p>
              <a:pPr>
                <a:defRPr lang="en-KE" sz="1050" b="1" i="0" u="none" strike="noStrike" kern="1200" baseline="0">
                  <a:solidFill>
                    <a:schemeClr val="tx1"/>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KE" sz="1000" b="1" i="0" u="none" strike="noStrike" kern="1200" baseline="0">
                <a:solidFill>
                  <a:schemeClr val="tx1"/>
                </a:solidFill>
                <a:latin typeface="+mn-lt"/>
                <a:ea typeface="+mn-ea"/>
                <a:cs typeface="+mn-cs"/>
              </a:defRPr>
            </a:pPr>
            <a:endParaRPr lang="en-KE"/>
          </a:p>
        </c:txPr>
        <c:crossAx val="835524959"/>
        <c:crosses val="autoZero"/>
        <c:auto val="1"/>
        <c:lblAlgn val="ctr"/>
        <c:lblOffset val="100"/>
        <c:noMultiLvlLbl val="0"/>
      </c:catAx>
      <c:valAx>
        <c:axId val="835524959"/>
        <c:scaling>
          <c:orientation val="minMax"/>
        </c:scaling>
        <c:delete val="0"/>
        <c:axPos val="b"/>
        <c:title>
          <c:tx>
            <c:rich>
              <a:bodyPr rot="0" spcFirstLastPara="1" vertOverflow="ellipsis" vert="horz" wrap="square" anchor="ctr" anchorCtr="1"/>
              <a:lstStyle/>
              <a:p>
                <a:pPr>
                  <a:defRPr lang="en-KE" sz="1050" b="1" i="0" u="none" strike="noStrike" kern="1200" baseline="0">
                    <a:solidFill>
                      <a:schemeClr val="tx1"/>
                    </a:solidFill>
                    <a:latin typeface="+mn-lt"/>
                    <a:ea typeface="+mn-ea"/>
                    <a:cs typeface="+mn-cs"/>
                  </a:defRPr>
                </a:pPr>
                <a:r>
                  <a:rPr lang="en-US" sz="1050" b="1"/>
                  <a:t>Treatment Cost</a:t>
                </a:r>
              </a:p>
            </c:rich>
          </c:tx>
          <c:overlay val="0"/>
          <c:spPr>
            <a:noFill/>
            <a:ln>
              <a:noFill/>
            </a:ln>
            <a:effectLst/>
          </c:spPr>
          <c:txPr>
            <a:bodyPr rot="0" spcFirstLastPara="1" vertOverflow="ellipsis" vert="horz" wrap="square" anchor="ctr" anchorCtr="1"/>
            <a:lstStyle/>
            <a:p>
              <a:pPr>
                <a:defRPr lang="en-KE" sz="1050" b="1" i="0" u="none" strike="noStrike" kern="1200" baseline="0">
                  <a:solidFill>
                    <a:schemeClr val="tx1"/>
                  </a:solidFill>
                  <a:latin typeface="+mn-lt"/>
                  <a:ea typeface="+mn-ea"/>
                  <a:cs typeface="+mn-cs"/>
                </a:defRPr>
              </a:pPr>
              <a:endParaRPr lang="en-KE"/>
            </a:p>
          </c:txPr>
        </c:title>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lang="en-KE" sz="1000" b="1" i="0" u="none" strike="noStrike" kern="1200" baseline="0">
                <a:solidFill>
                  <a:schemeClr val="tx1"/>
                </a:solidFill>
                <a:latin typeface="+mn-lt"/>
                <a:ea typeface="+mn-ea"/>
                <a:cs typeface="+mn-cs"/>
              </a:defRPr>
            </a:pPr>
            <a:endParaRPr lang="en-KE"/>
          </a:p>
        </c:txPr>
        <c:crossAx val="1496172239"/>
        <c:crosses val="autoZero"/>
        <c:crossBetween val="between"/>
        <c:majorUnit val="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KE" sz="1000" b="0" i="0" u="none" strike="noStrike" kern="1200" baseline="0">
          <a:solidFill>
            <a:schemeClr val="tx1"/>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[Hospital_Admissions_Cleaning_final.xlsx]Dashboard!PivotTable7</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solidFill>
                  <a:schemeClr val="tx1"/>
                </a:solidFill>
              </a:rPr>
              <a:t>Patient Outcomes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Dashboard!$E$29</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548E-46B8-98FA-6F3201FA239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2-548E-46B8-98FA-6F3201FA239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0DE-403E-BC6C-923BCFBCBA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K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Dashboard!$D$30:$D$33</c:f>
              <c:strCache>
                <c:ptCount val="3"/>
                <c:pt idx="0">
                  <c:v>Deceased</c:v>
                </c:pt>
                <c:pt idx="1">
                  <c:v>Recovered</c:v>
                </c:pt>
                <c:pt idx="2">
                  <c:v>Referred</c:v>
                </c:pt>
              </c:strCache>
            </c:strRef>
          </c:cat>
          <c:val>
            <c:numRef>
              <c:f>Dashboard!$E$30:$E$33</c:f>
              <c:numCache>
                <c:formatCode>0.00%</c:formatCode>
                <c:ptCount val="3"/>
                <c:pt idx="0">
                  <c:v>3.3333333333333333E-2</c:v>
                </c:pt>
                <c:pt idx="1">
                  <c:v>0.82666666666666666</c:v>
                </c:pt>
                <c:pt idx="2">
                  <c:v>0.14000000000000001</c:v>
                </c:pt>
              </c:numCache>
            </c:numRef>
          </c:val>
          <c:extLst>
            <c:ext xmlns:c16="http://schemas.microsoft.com/office/drawing/2014/chart" uri="{C3380CC4-5D6E-409C-BE32-E72D297353CC}">
              <c16:uniqueId val="{00000000-548E-46B8-98FA-6F3201FA23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[Hospital_Admissions_Cleaning_final.xlsx]Dashboard!PivotTable9</c:name>
    <c:fmtId val="0"/>
  </c:pivotSource>
  <c:chart>
    <c:title>
      <c:tx>
        <c:rich>
          <a:bodyPr rot="0" spcFirstLastPara="1" vertOverflow="ellipsis" vert="horz" wrap="square" anchor="ctr" anchorCtr="1"/>
          <a:lstStyle/>
          <a:p>
            <a:pPr>
              <a:defRPr lang="en-KE" sz="1600" b="1" i="0" u="none" strike="noStrike" kern="1200" spc="0" baseline="0">
                <a:solidFill>
                  <a:schemeClr val="tx1"/>
                </a:solidFill>
                <a:latin typeface="+mn-lt"/>
                <a:ea typeface="+mn-ea"/>
                <a:cs typeface="+mn-cs"/>
              </a:defRPr>
            </a:pPr>
            <a:r>
              <a:rPr lang="en-US" sz="1600" b="1"/>
              <a:t>Monthly Admissions Trend</a:t>
            </a:r>
          </a:p>
        </c:rich>
      </c:tx>
      <c:overlay val="0"/>
      <c:spPr>
        <a:noFill/>
        <a:ln>
          <a:noFill/>
        </a:ln>
        <a:effectLst/>
      </c:spPr>
      <c:txPr>
        <a:bodyPr rot="0" spcFirstLastPara="1" vertOverflow="ellipsis" vert="horz" wrap="square" anchor="ctr" anchorCtr="1"/>
        <a:lstStyle/>
        <a:p>
          <a:pPr>
            <a:defRPr lang="en-KE" sz="1600" b="1" i="0" u="none" strike="noStrike" kern="1200" spc="0" baseline="0">
              <a:solidFill>
                <a:schemeClr val="tx1"/>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KE" sz="1000" b="0" i="0" u="none" strike="noStrike" kern="1200" baseline="0">
                  <a:solidFill>
                    <a:schemeClr val="tx1"/>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52984062784635E-2"/>
          <c:y val="0.16883916496903426"/>
          <c:w val="0.88478910585226733"/>
          <c:h val="0.60236475648877219"/>
        </c:manualLayout>
      </c:layout>
      <c:lineChart>
        <c:grouping val="standard"/>
        <c:varyColors val="0"/>
        <c:ser>
          <c:idx val="0"/>
          <c:order val="0"/>
          <c:tx>
            <c:strRef>
              <c:f>Dashboard!$P$7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KE" sz="1000" b="0" i="0" u="none" strike="noStrike" kern="1200" baseline="0">
                    <a:solidFill>
                      <a:schemeClr val="tx1"/>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Dashboard!$O$8:$O$12</c:f>
              <c:strCache>
                <c:ptCount val="4"/>
                <c:pt idx="0">
                  <c:v>January</c:v>
                </c:pt>
                <c:pt idx="1">
                  <c:v>February</c:v>
                </c:pt>
                <c:pt idx="2">
                  <c:v>March</c:v>
                </c:pt>
                <c:pt idx="3">
                  <c:v>April</c:v>
                </c:pt>
              </c:strCache>
            </c:strRef>
          </c:cat>
          <c:val>
            <c:numRef>
              <c:f>Dashboard!$P$8:$P$12</c:f>
              <c:numCache>
                <c:formatCode>General</c:formatCode>
                <c:ptCount val="4"/>
                <c:pt idx="0">
                  <c:v>53</c:v>
                </c:pt>
                <c:pt idx="1">
                  <c:v>52</c:v>
                </c:pt>
                <c:pt idx="2">
                  <c:v>44</c:v>
                </c:pt>
                <c:pt idx="3">
                  <c:v>1</c:v>
                </c:pt>
              </c:numCache>
            </c:numRef>
          </c:val>
          <c:smooth val="0"/>
          <c:extLst>
            <c:ext xmlns:c16="http://schemas.microsoft.com/office/drawing/2014/chart" uri="{C3380CC4-5D6E-409C-BE32-E72D297353CC}">
              <c16:uniqueId val="{00000000-3C77-41AA-B3ED-4D85CD67D81F}"/>
            </c:ext>
          </c:extLst>
        </c:ser>
        <c:dLbls>
          <c:dLblPos val="t"/>
          <c:showLegendKey val="0"/>
          <c:showVal val="1"/>
          <c:showCatName val="0"/>
          <c:showSerName val="0"/>
          <c:showPercent val="0"/>
          <c:showBubbleSize val="0"/>
        </c:dLbls>
        <c:smooth val="0"/>
        <c:axId val="673278335"/>
        <c:axId val="111052479"/>
      </c:lineChart>
      <c:catAx>
        <c:axId val="673278335"/>
        <c:scaling>
          <c:orientation val="minMax"/>
        </c:scaling>
        <c:delete val="0"/>
        <c:axPos val="b"/>
        <c:title>
          <c:tx>
            <c:rich>
              <a:bodyPr rot="0" spcFirstLastPara="1" vertOverflow="ellipsis" vert="horz" wrap="square" anchor="ctr" anchorCtr="1"/>
              <a:lstStyle/>
              <a:p>
                <a:pPr>
                  <a:defRPr lang="en-KE" sz="1000" b="1" i="0" u="none" strike="noStrike" kern="1200" baseline="0">
                    <a:solidFill>
                      <a:schemeClr val="tx1"/>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lang="en-KE" sz="1000" b="1" i="0" u="none" strike="noStrike" kern="1200" baseline="0">
                  <a:solidFill>
                    <a:schemeClr val="tx1"/>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KE" sz="1000" b="1" i="0" u="none" strike="noStrike" kern="1200" baseline="0">
                <a:solidFill>
                  <a:schemeClr val="tx1"/>
                </a:solidFill>
                <a:latin typeface="+mn-lt"/>
                <a:ea typeface="+mn-ea"/>
                <a:cs typeface="+mn-cs"/>
              </a:defRPr>
            </a:pPr>
            <a:endParaRPr lang="en-KE"/>
          </a:p>
        </c:txPr>
        <c:crossAx val="111052479"/>
        <c:crosses val="autoZero"/>
        <c:auto val="1"/>
        <c:lblAlgn val="ctr"/>
        <c:lblOffset val="100"/>
        <c:noMultiLvlLbl val="0"/>
      </c:catAx>
      <c:valAx>
        <c:axId val="111052479"/>
        <c:scaling>
          <c:orientation val="minMax"/>
        </c:scaling>
        <c:delete val="0"/>
        <c:axPos val="l"/>
        <c:title>
          <c:tx>
            <c:rich>
              <a:bodyPr rot="-5400000" spcFirstLastPara="1" vertOverflow="ellipsis" vert="horz" wrap="square" anchor="ctr" anchorCtr="1"/>
              <a:lstStyle/>
              <a:p>
                <a:pPr>
                  <a:defRPr lang="en-KE" sz="1000" b="1" i="0" u="none" strike="noStrike" kern="1200" baseline="0">
                    <a:solidFill>
                      <a:schemeClr val="tx1"/>
                    </a:solidFill>
                    <a:latin typeface="+mn-lt"/>
                    <a:ea typeface="+mn-ea"/>
                    <a:cs typeface="+mn-cs"/>
                  </a:defRPr>
                </a:pPr>
                <a:r>
                  <a:rPr lang="en-US" b="1"/>
                  <a:t>Admission Count</a:t>
                </a:r>
              </a:p>
            </c:rich>
          </c:tx>
          <c:overlay val="0"/>
          <c:spPr>
            <a:noFill/>
            <a:ln>
              <a:noFill/>
            </a:ln>
            <a:effectLst/>
          </c:spPr>
          <c:txPr>
            <a:bodyPr rot="-5400000" spcFirstLastPara="1" vertOverflow="ellipsis" vert="horz" wrap="square" anchor="ctr" anchorCtr="1"/>
            <a:lstStyle/>
            <a:p>
              <a:pPr>
                <a:defRPr lang="en-KE" sz="1000" b="1" i="0" u="none" strike="noStrike" kern="1200" baseline="0">
                  <a:solidFill>
                    <a:schemeClr val="tx1"/>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KE" sz="1000" b="1" i="0" u="none" strike="noStrike" kern="1200" baseline="0">
                <a:solidFill>
                  <a:schemeClr val="tx1"/>
                </a:solidFill>
                <a:latin typeface="+mn-lt"/>
                <a:ea typeface="+mn-ea"/>
                <a:cs typeface="+mn-cs"/>
              </a:defRPr>
            </a:pPr>
            <a:endParaRPr lang="en-KE"/>
          </a:p>
        </c:txPr>
        <c:crossAx val="67327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KE" sz="1000" b="0" i="0" u="none" strike="noStrike" kern="1200" baseline="0">
          <a:solidFill>
            <a:schemeClr val="tx1"/>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340896</xdr:colOff>
      <xdr:row>2</xdr:row>
      <xdr:rowOff>20052</xdr:rowOff>
    </xdr:from>
    <xdr:to>
      <xdr:col>2</xdr:col>
      <xdr:colOff>381000</xdr:colOff>
      <xdr:row>3</xdr:row>
      <xdr:rowOff>189078</xdr:rowOff>
    </xdr:to>
    <xdr:sp macro="" textlink="$B$55">
      <xdr:nvSpPr>
        <xdr:cNvPr id="2" name="Rectangle: Rounded Corners 1">
          <a:extLst>
            <a:ext uri="{FF2B5EF4-FFF2-40B4-BE49-F238E27FC236}">
              <a16:creationId xmlns:a16="http://schemas.microsoft.com/office/drawing/2014/main" id="{4AAA51ED-6251-428A-B980-60A5A5ACBB2B}"/>
            </a:ext>
          </a:extLst>
        </xdr:cNvPr>
        <xdr:cNvSpPr/>
      </xdr:nvSpPr>
      <xdr:spPr>
        <a:xfrm>
          <a:off x="1463843" y="401052"/>
          <a:ext cx="1183104" cy="359526"/>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8130A37-1869-4771-A67E-4C7DA0E5379E}" type="TxLink">
            <a:rPr lang="en-US" sz="1100" b="0" i="0" u="none" strike="noStrike">
              <a:solidFill>
                <a:srgbClr val="000000"/>
              </a:solidFill>
              <a:latin typeface="Calibri"/>
              <a:ea typeface="Calibri"/>
              <a:cs typeface="Calibri"/>
            </a:rPr>
            <a:pPr algn="ctr"/>
            <a:t>150</a:t>
          </a:fld>
          <a:endParaRPr lang="en-KE" sz="1100">
            <a:solidFill>
              <a:schemeClr val="tx1"/>
            </a:solidFill>
          </a:endParaRPr>
        </a:p>
      </xdr:txBody>
    </xdr:sp>
    <xdr:clientData/>
  </xdr:twoCellAnchor>
  <xdr:twoCellAnchor>
    <xdr:from>
      <xdr:col>3</xdr:col>
      <xdr:colOff>130342</xdr:colOff>
      <xdr:row>1</xdr:row>
      <xdr:rowOff>170447</xdr:rowOff>
    </xdr:from>
    <xdr:to>
      <xdr:col>7</xdr:col>
      <xdr:colOff>170446</xdr:colOff>
      <xdr:row>4</xdr:row>
      <xdr:rowOff>20053</xdr:rowOff>
    </xdr:to>
    <xdr:sp macro="" textlink="$B$56">
      <xdr:nvSpPr>
        <xdr:cNvPr id="4" name="Rectangle: Rounded Corners 3">
          <a:extLst>
            <a:ext uri="{FF2B5EF4-FFF2-40B4-BE49-F238E27FC236}">
              <a16:creationId xmlns:a16="http://schemas.microsoft.com/office/drawing/2014/main" id="{5B545CBA-C8C0-419B-9AB6-3CFC00443120}"/>
            </a:ext>
          </a:extLst>
        </xdr:cNvPr>
        <xdr:cNvSpPr/>
      </xdr:nvSpPr>
      <xdr:spPr>
        <a:xfrm>
          <a:off x="4140868" y="360947"/>
          <a:ext cx="2486525" cy="421106"/>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708B9B-0A2F-4D2E-BA41-BA37FBA5FA87}" type="TxLink">
            <a:rPr lang="en-US" sz="1100" b="0" i="0" u="none" strike="noStrike">
              <a:solidFill>
                <a:srgbClr val="000000"/>
              </a:solidFill>
              <a:latin typeface="Calibri"/>
              <a:ea typeface="Calibri"/>
              <a:cs typeface="Calibri"/>
            </a:rPr>
            <a:pPr algn="ctr"/>
            <a:t>Ksh38,761.62</a:t>
          </a:fld>
          <a:endParaRPr lang="en-KE" sz="1100"/>
        </a:p>
      </xdr:txBody>
    </xdr:sp>
    <xdr:clientData/>
  </xdr:twoCellAnchor>
  <xdr:twoCellAnchor>
    <xdr:from>
      <xdr:col>15</xdr:col>
      <xdr:colOff>50130</xdr:colOff>
      <xdr:row>1</xdr:row>
      <xdr:rowOff>170447</xdr:rowOff>
    </xdr:from>
    <xdr:to>
      <xdr:col>18</xdr:col>
      <xdr:colOff>90235</xdr:colOff>
      <xdr:row>3</xdr:row>
      <xdr:rowOff>180473</xdr:rowOff>
    </xdr:to>
    <xdr:sp macro="" textlink="$B$58">
      <xdr:nvSpPr>
        <xdr:cNvPr id="5" name="Rectangle: Rounded Corners 4">
          <a:extLst>
            <a:ext uri="{FF2B5EF4-FFF2-40B4-BE49-F238E27FC236}">
              <a16:creationId xmlns:a16="http://schemas.microsoft.com/office/drawing/2014/main" id="{A216D93B-F858-4C5D-AA8E-D9108E497B59}"/>
            </a:ext>
          </a:extLst>
        </xdr:cNvPr>
        <xdr:cNvSpPr/>
      </xdr:nvSpPr>
      <xdr:spPr>
        <a:xfrm>
          <a:off x="12723393" y="360947"/>
          <a:ext cx="1874921" cy="391026"/>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E76FF4-88FF-4620-84C2-5795D13BB5B2}" type="TxLink">
            <a:rPr lang="en-US" sz="1100" b="0" i="0" u="none" strike="noStrike">
              <a:solidFill>
                <a:srgbClr val="000000"/>
              </a:solidFill>
              <a:latin typeface="Calibri"/>
              <a:ea typeface="Calibri"/>
              <a:cs typeface="Calibri"/>
            </a:rPr>
            <a:pPr algn="ctr"/>
            <a:t>01-Jan to 01-Apr</a:t>
          </a:fld>
          <a:endParaRPr lang="en-KE" sz="1100"/>
        </a:p>
      </xdr:txBody>
    </xdr:sp>
    <xdr:clientData/>
  </xdr:twoCellAnchor>
  <xdr:twoCellAnchor>
    <xdr:from>
      <xdr:col>9</xdr:col>
      <xdr:colOff>340897</xdr:colOff>
      <xdr:row>1</xdr:row>
      <xdr:rowOff>170447</xdr:rowOff>
    </xdr:from>
    <xdr:to>
      <xdr:col>12</xdr:col>
      <xdr:colOff>230605</xdr:colOff>
      <xdr:row>3</xdr:row>
      <xdr:rowOff>130342</xdr:rowOff>
    </xdr:to>
    <xdr:sp macro="" textlink="$B$57">
      <xdr:nvSpPr>
        <xdr:cNvPr id="6" name="Rectangle: Rounded Corners 5">
          <a:extLst>
            <a:ext uri="{FF2B5EF4-FFF2-40B4-BE49-F238E27FC236}">
              <a16:creationId xmlns:a16="http://schemas.microsoft.com/office/drawing/2014/main" id="{E4E50572-FB07-4FBA-A920-B0A8A2CF6FBB}"/>
            </a:ext>
          </a:extLst>
        </xdr:cNvPr>
        <xdr:cNvSpPr/>
      </xdr:nvSpPr>
      <xdr:spPr>
        <a:xfrm>
          <a:off x="10166686" y="360947"/>
          <a:ext cx="1724524" cy="340895"/>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22DE23-93FD-4480-BD51-2571BFA768D4}" type="TxLink">
            <a:rPr lang="en-US" sz="1100" b="0" i="0" u="none" strike="noStrike">
              <a:solidFill>
                <a:srgbClr val="000000"/>
              </a:solidFill>
              <a:latin typeface="Calibri"/>
              <a:ea typeface="Calibri"/>
              <a:cs typeface="Calibri"/>
            </a:rPr>
            <a:pPr algn="ctr"/>
            <a:t>8</a:t>
          </a:fld>
          <a:endParaRPr lang="en-KE" sz="1100"/>
        </a:p>
      </xdr:txBody>
    </xdr:sp>
    <xdr:clientData/>
  </xdr:twoCellAnchor>
  <xdr:oneCellAnchor>
    <xdr:from>
      <xdr:col>1</xdr:col>
      <xdr:colOff>431131</xdr:colOff>
      <xdr:row>1</xdr:row>
      <xdr:rowOff>150395</xdr:rowOff>
    </xdr:from>
    <xdr:ext cx="184731" cy="264560"/>
    <xdr:sp macro="" textlink="">
      <xdr:nvSpPr>
        <xdr:cNvPr id="7" name="TextBox 6">
          <a:extLst>
            <a:ext uri="{FF2B5EF4-FFF2-40B4-BE49-F238E27FC236}">
              <a16:creationId xmlns:a16="http://schemas.microsoft.com/office/drawing/2014/main" id="{C4F367A9-D4E4-44AB-8E1F-D525CECD34B6}"/>
            </a:ext>
          </a:extLst>
        </xdr:cNvPr>
        <xdr:cNvSpPr txBox="1"/>
      </xdr:nvSpPr>
      <xdr:spPr>
        <a:xfrm>
          <a:off x="1945105" y="3408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twoCellAnchor>
    <xdr:from>
      <xdr:col>2</xdr:col>
      <xdr:colOff>1744578</xdr:colOff>
      <xdr:row>4</xdr:row>
      <xdr:rowOff>122320</xdr:rowOff>
    </xdr:from>
    <xdr:to>
      <xdr:col>10</xdr:col>
      <xdr:colOff>531394</xdr:colOff>
      <xdr:row>21</xdr:row>
      <xdr:rowOff>40105</xdr:rowOff>
    </xdr:to>
    <xdr:graphicFrame macro="">
      <xdr:nvGraphicFramePr>
        <xdr:cNvPr id="9" name="Chart 8">
          <a:extLst>
            <a:ext uri="{FF2B5EF4-FFF2-40B4-BE49-F238E27FC236}">
              <a16:creationId xmlns:a16="http://schemas.microsoft.com/office/drawing/2014/main" id="{03C2CF97-5F06-414A-AFD6-0A262F38B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566488</xdr:colOff>
      <xdr:row>4</xdr:row>
      <xdr:rowOff>120316</xdr:rowOff>
    </xdr:from>
    <xdr:to>
      <xdr:col>19</xdr:col>
      <xdr:colOff>10028</xdr:colOff>
      <xdr:row>21</xdr:row>
      <xdr:rowOff>40104</xdr:rowOff>
    </xdr:to>
    <xdr:graphicFrame macro="">
      <xdr:nvGraphicFramePr>
        <xdr:cNvPr id="11" name="Chart 10">
          <a:extLst>
            <a:ext uri="{FF2B5EF4-FFF2-40B4-BE49-F238E27FC236}">
              <a16:creationId xmlns:a16="http://schemas.microsoft.com/office/drawing/2014/main" id="{3C514152-D6BF-435F-9ED3-53554EA50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581525</xdr:colOff>
      <xdr:row>21</xdr:row>
      <xdr:rowOff>70186</xdr:rowOff>
    </xdr:from>
    <xdr:to>
      <xdr:col>19</xdr:col>
      <xdr:colOff>10027</xdr:colOff>
      <xdr:row>34</xdr:row>
      <xdr:rowOff>140368</xdr:rowOff>
    </xdr:to>
    <xdr:graphicFrame macro="">
      <xdr:nvGraphicFramePr>
        <xdr:cNvPr id="13" name="Chart 12">
          <a:extLst>
            <a:ext uri="{FF2B5EF4-FFF2-40B4-BE49-F238E27FC236}">
              <a16:creationId xmlns:a16="http://schemas.microsoft.com/office/drawing/2014/main" id="{8CA2AED7-5FDA-44C9-8B18-D25E46098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16043</xdr:colOff>
      <xdr:row>4</xdr:row>
      <xdr:rowOff>106780</xdr:rowOff>
    </xdr:from>
    <xdr:to>
      <xdr:col>1</xdr:col>
      <xdr:colOff>972553</xdr:colOff>
      <xdr:row>16</xdr:row>
      <xdr:rowOff>80211</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0BCE6D8F-3E74-4326-9EC9-0239EC82ACA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043" y="868780"/>
              <a:ext cx="2259931" cy="225943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30078</xdr:colOff>
      <xdr:row>16</xdr:row>
      <xdr:rowOff>100264</xdr:rowOff>
    </xdr:from>
    <xdr:to>
      <xdr:col>1</xdr:col>
      <xdr:colOff>972552</xdr:colOff>
      <xdr:row>30</xdr:row>
      <xdr:rowOff>4012</xdr:rowOff>
    </xdr:to>
    <mc:AlternateContent xmlns:mc="http://schemas.openxmlformats.org/markup-compatibility/2006" xmlns:a14="http://schemas.microsoft.com/office/drawing/2010/main">
      <mc:Choice Requires="a14">
        <xdr:graphicFrame macro="">
          <xdr:nvGraphicFramePr>
            <xdr:cNvPr id="16" name="Doctor Assigned">
              <a:extLst>
                <a:ext uri="{FF2B5EF4-FFF2-40B4-BE49-F238E27FC236}">
                  <a16:creationId xmlns:a16="http://schemas.microsoft.com/office/drawing/2014/main" id="{993D1AFE-B529-4F76-B6B9-2FE3B217C460}"/>
                </a:ext>
              </a:extLst>
            </xdr:cNvPr>
            <xdr:cNvGraphicFramePr/>
          </xdr:nvGraphicFramePr>
          <xdr:xfrm>
            <a:off x="0" y="0"/>
            <a:ext cx="0" cy="0"/>
          </xdr:xfrm>
          <a:graphic>
            <a:graphicData uri="http://schemas.microsoft.com/office/drawing/2010/slicer">
              <sle:slicer xmlns:sle="http://schemas.microsoft.com/office/drawing/2010/slicer" name="Doctor Assigned"/>
            </a:graphicData>
          </a:graphic>
        </xdr:graphicFrame>
      </mc:Choice>
      <mc:Fallback xmlns="">
        <xdr:sp macro="" textlink="">
          <xdr:nvSpPr>
            <xdr:cNvPr id="0" name=""/>
            <xdr:cNvSpPr>
              <a:spLocks noTextEdit="1"/>
            </xdr:cNvSpPr>
          </xdr:nvSpPr>
          <xdr:spPr>
            <a:xfrm>
              <a:off x="156410" y="3194886"/>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972554</xdr:colOff>
      <xdr:row>12</xdr:row>
      <xdr:rowOff>61662</xdr:rowOff>
    </xdr:from>
    <xdr:to>
      <xdr:col>2</xdr:col>
      <xdr:colOff>1664370</xdr:colOff>
      <xdr:row>19</xdr:row>
      <xdr:rowOff>100263</xdr:rowOff>
    </xdr:to>
    <mc:AlternateContent xmlns:mc="http://schemas.openxmlformats.org/markup-compatibility/2006">
      <mc:Choice xmlns:a14="http://schemas.microsoft.com/office/drawing/2010/main" Requires="a14">
        <xdr:graphicFrame macro="">
          <xdr:nvGraphicFramePr>
            <xdr:cNvPr id="17" name="Outcome">
              <a:extLst>
                <a:ext uri="{FF2B5EF4-FFF2-40B4-BE49-F238E27FC236}">
                  <a16:creationId xmlns:a16="http://schemas.microsoft.com/office/drawing/2014/main" id="{19F46EC4-BFC6-4C40-99BB-2843B285BA4C}"/>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2095501" y="2347662"/>
              <a:ext cx="1834816" cy="137210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10028</xdr:colOff>
      <xdr:row>21</xdr:row>
      <xdr:rowOff>80211</xdr:rowOff>
    </xdr:from>
    <xdr:to>
      <xdr:col>10</xdr:col>
      <xdr:colOff>541422</xdr:colOff>
      <xdr:row>34</xdr:row>
      <xdr:rowOff>150395</xdr:rowOff>
    </xdr:to>
    <xdr:graphicFrame macro="">
      <xdr:nvGraphicFramePr>
        <xdr:cNvPr id="20" name="Chart 19">
          <a:extLst>
            <a:ext uri="{FF2B5EF4-FFF2-40B4-BE49-F238E27FC236}">
              <a16:creationId xmlns:a16="http://schemas.microsoft.com/office/drawing/2014/main" id="{C583AB73-5C3C-4228-B2EF-AB3D4EF88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962527</xdr:colOff>
      <xdr:row>4</xdr:row>
      <xdr:rowOff>109286</xdr:rowOff>
    </xdr:from>
    <xdr:to>
      <xdr:col>2</xdr:col>
      <xdr:colOff>1664369</xdr:colOff>
      <xdr:row>12</xdr:row>
      <xdr:rowOff>40105</xdr:rowOff>
    </xdr:to>
    <mc:AlternateContent xmlns:mc="http://schemas.openxmlformats.org/markup-compatibility/2006">
      <mc:Choice xmlns:a14="http://schemas.microsoft.com/office/drawing/2010/main" Requires="a14">
        <xdr:graphicFrame macro="">
          <xdr:nvGraphicFramePr>
            <xdr:cNvPr id="21" name="Month Name">
              <a:extLst>
                <a:ext uri="{FF2B5EF4-FFF2-40B4-BE49-F238E27FC236}">
                  <a16:creationId xmlns:a16="http://schemas.microsoft.com/office/drawing/2014/main" id="{8EA7551A-35E6-46E3-B008-8EE0D607C00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2085474" y="871286"/>
              <a:ext cx="1844842" cy="145481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rbert cheruiyot" refreshedDate="45952.615283449071" createdVersion="6" refreshedVersion="6" minRefreshableVersion="3" recordCount="150" xr:uid="{AC2BC513-39CA-4AE3-B5AF-B1216BF45A4B}">
  <cacheSource type="worksheet">
    <worksheetSource name="HospitalData"/>
  </cacheSource>
  <cacheFields count="12">
    <cacheField name="Patient ID" numFmtId="0">
      <sharedItems count="15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haredItems>
    </cacheField>
    <cacheField name="Department" numFmtId="0">
      <sharedItems count="7">
        <s v="Orthopedics"/>
        <s v="General Medicine"/>
        <s v="Pediatrics"/>
        <s v="Oncology"/>
        <s v="Maternity"/>
        <s v="Surgery"/>
        <s v="Cardiology"/>
      </sharedItems>
    </cacheField>
    <cacheField name="Admission Date" numFmtId="14">
      <sharedItems containsSemiMixedTypes="0" containsNonDate="0" containsDate="1" containsString="0" minDate="2025-01-01T00:00:00" maxDate="2025-04-02T00:00:00"/>
    </cacheField>
    <cacheField name="Month Name" numFmtId="0">
      <sharedItems count="4">
        <s v="January"/>
        <s v="February"/>
        <s v="March"/>
        <s v="April"/>
      </sharedItems>
    </cacheField>
    <cacheField name="Discharge Date" numFmtId="14">
      <sharedItems containsNonDate="0" containsDate="1" containsString="0" containsBlank="1" minDate="2025-01-02T00:00:00" maxDate="2025-04-13T00:00:00"/>
    </cacheField>
    <cacheField name="Lenght Of Stay" numFmtId="0">
      <sharedItems containsString="0" containsBlank="1" containsNumber="1" containsInteger="1" minValue="1" maxValue="14"/>
    </cacheField>
    <cacheField name="Stay Category" numFmtId="0">
      <sharedItems count="4">
        <s v="Medium Stay"/>
        <s v="Still Admitted"/>
        <s v="Long Stay"/>
        <s v="Short Stay"/>
      </sharedItems>
    </cacheField>
    <cacheField name="Diagnosis" numFmtId="0">
      <sharedItems/>
    </cacheField>
    <cacheField name="Doctor Assigned" numFmtId="0">
      <sharedItems count="14">
        <s v="Dr Kiprono"/>
        <s v="Dr Muriithi"/>
        <s v="Dr Kibet"/>
        <s v="Dr Oduor"/>
        <s v="Dr Atieno"/>
        <s v="Dr Otieno"/>
        <s v="Dr Kamau"/>
        <s v="Dr Cheruiyot"/>
        <s v="Dr Mwangi"/>
        <s v="Dr Mutua"/>
        <s v="Dr Achieng"/>
        <s v="Dr Wanjiru"/>
        <s v="Dr Njoroge"/>
        <s v="Dr Korir"/>
      </sharedItems>
    </cacheField>
    <cacheField name="Treatment Cost" numFmtId="165">
      <sharedItems containsSemiMixedTypes="0" containsString="0" containsNumber="1" minValue="4945.2" maxValue="69559"/>
    </cacheField>
    <cacheField name="Outcome" numFmtId="0">
      <sharedItems count="3">
        <s v="Recovered"/>
        <s v="Referred"/>
        <s v="Deceased"/>
      </sharedItems>
    </cacheField>
    <cacheField name="Cost Flag" numFmtId="0">
      <sharedItems/>
    </cacheField>
  </cacheFields>
  <extLst>
    <ext xmlns:x14="http://schemas.microsoft.com/office/spreadsheetml/2009/9/main" uri="{725AE2AE-9491-48be-B2B4-4EB974FC3084}">
      <x14:pivotCacheDefinition pivotCacheId="1803775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d v="2025-01-06T00:00:00"/>
    <x v="0"/>
    <d v="2025-01-10T00:00:00"/>
    <n v="4"/>
    <x v="0"/>
    <s v="Dislocation"/>
    <x v="0"/>
    <n v="45961"/>
    <x v="0"/>
    <s v="Normal"/>
  </r>
  <r>
    <x v="1"/>
    <x v="1"/>
    <d v="2025-01-15T00:00:00"/>
    <x v="0"/>
    <m/>
    <m/>
    <x v="1"/>
    <s v="Flu"/>
    <x v="1"/>
    <n v="38341"/>
    <x v="0"/>
    <s v="Normal"/>
  </r>
  <r>
    <x v="2"/>
    <x v="2"/>
    <d v="2025-02-16T00:00:00"/>
    <x v="1"/>
    <d v="2025-02-24T00:00:00"/>
    <n v="8"/>
    <x v="2"/>
    <s v="Pneumonia"/>
    <x v="2"/>
    <n v="47772"/>
    <x v="0"/>
    <s v="Normal"/>
  </r>
  <r>
    <x v="3"/>
    <x v="3"/>
    <d v="2025-03-19T00:00:00"/>
    <x v="2"/>
    <d v="2025-03-30T00:00:00"/>
    <n v="11"/>
    <x v="2"/>
    <s v="Leukemia"/>
    <x v="3"/>
    <n v="58276"/>
    <x v="0"/>
    <s v="Expensive"/>
  </r>
  <r>
    <x v="4"/>
    <x v="3"/>
    <d v="2025-03-26T00:00:00"/>
    <x v="2"/>
    <d v="2025-03-30T00:00:00"/>
    <n v="4"/>
    <x v="0"/>
    <s v="Breast Cancer"/>
    <x v="3"/>
    <n v="37190"/>
    <x v="0"/>
    <s v="Normal"/>
  </r>
  <r>
    <x v="5"/>
    <x v="2"/>
    <d v="2025-02-24T00:00:00"/>
    <x v="1"/>
    <d v="2025-03-10T00:00:00"/>
    <n v="14"/>
    <x v="2"/>
    <s v="Dehydration"/>
    <x v="2"/>
    <n v="11157"/>
    <x v="0"/>
    <s v="Normal"/>
  </r>
  <r>
    <x v="6"/>
    <x v="4"/>
    <d v="2025-01-01T00:00:00"/>
    <x v="0"/>
    <d v="2025-01-02T00:00:00"/>
    <n v="1"/>
    <x v="3"/>
    <s v="Preeclampsia"/>
    <x v="4"/>
    <n v="58951"/>
    <x v="0"/>
    <s v="Expensive"/>
  </r>
  <r>
    <x v="7"/>
    <x v="0"/>
    <d v="2025-03-15T00:00:00"/>
    <x v="2"/>
    <d v="2025-03-25T00:00:00"/>
    <n v="10"/>
    <x v="2"/>
    <s v="Dislocation"/>
    <x v="5"/>
    <n v="49209"/>
    <x v="0"/>
    <s v="Normal"/>
  </r>
  <r>
    <x v="8"/>
    <x v="3"/>
    <d v="2025-03-24T00:00:00"/>
    <x v="2"/>
    <d v="2025-04-03T00:00:00"/>
    <n v="10"/>
    <x v="2"/>
    <s v="Breast Cancer"/>
    <x v="3"/>
    <n v="34366"/>
    <x v="0"/>
    <s v="Normal"/>
  </r>
  <r>
    <x v="9"/>
    <x v="5"/>
    <d v="2025-03-29T00:00:00"/>
    <x v="2"/>
    <d v="2025-04-12T00:00:00"/>
    <n v="14"/>
    <x v="2"/>
    <s v="Hernia"/>
    <x v="6"/>
    <n v="46511"/>
    <x v="0"/>
    <s v="Normal"/>
  </r>
  <r>
    <x v="10"/>
    <x v="1"/>
    <d v="2025-01-21T00:00:00"/>
    <x v="0"/>
    <d v="2025-02-04T00:00:00"/>
    <n v="14"/>
    <x v="2"/>
    <s v="Migraine"/>
    <x v="7"/>
    <n v="34439"/>
    <x v="0"/>
    <s v="Normal"/>
  </r>
  <r>
    <x v="11"/>
    <x v="0"/>
    <d v="2025-01-08T00:00:00"/>
    <x v="0"/>
    <d v="2025-01-11T00:00:00"/>
    <n v="3"/>
    <x v="3"/>
    <s v="Arthritis"/>
    <x v="0"/>
    <n v="34411"/>
    <x v="0"/>
    <s v="Normal"/>
  </r>
  <r>
    <x v="12"/>
    <x v="3"/>
    <d v="2025-02-27T00:00:00"/>
    <x v="1"/>
    <d v="2025-03-07T00:00:00"/>
    <n v="8"/>
    <x v="2"/>
    <s v="Prostate Cancer"/>
    <x v="3"/>
    <n v="42904"/>
    <x v="0"/>
    <s v="Normal"/>
  </r>
  <r>
    <x v="13"/>
    <x v="6"/>
    <d v="2025-02-19T00:00:00"/>
    <x v="1"/>
    <d v="2025-03-02T00:00:00"/>
    <n v="11"/>
    <x v="2"/>
    <s v="Arrhythmia"/>
    <x v="8"/>
    <n v="17041"/>
    <x v="1"/>
    <s v="Normal"/>
  </r>
  <r>
    <x v="14"/>
    <x v="4"/>
    <d v="2025-01-12T00:00:00"/>
    <x v="0"/>
    <d v="2025-01-19T00:00:00"/>
    <n v="7"/>
    <x v="0"/>
    <s v="Preeclampsia"/>
    <x v="9"/>
    <n v="19301"/>
    <x v="1"/>
    <s v="Normal"/>
  </r>
  <r>
    <x v="15"/>
    <x v="3"/>
    <d v="2025-01-03T00:00:00"/>
    <x v="0"/>
    <d v="2025-01-07T00:00:00"/>
    <n v="4"/>
    <x v="0"/>
    <s v="Leukemia"/>
    <x v="3"/>
    <n v="33253"/>
    <x v="0"/>
    <s v="Normal"/>
  </r>
  <r>
    <x v="16"/>
    <x v="5"/>
    <d v="2025-02-09T00:00:00"/>
    <x v="1"/>
    <d v="2025-02-21T00:00:00"/>
    <n v="12"/>
    <x v="2"/>
    <s v="Gallstones"/>
    <x v="6"/>
    <n v="27846"/>
    <x v="0"/>
    <s v="Normal"/>
  </r>
  <r>
    <x v="17"/>
    <x v="2"/>
    <d v="2025-01-29T00:00:00"/>
    <x v="0"/>
    <d v="2025-02-12T00:00:00"/>
    <n v="14"/>
    <x v="2"/>
    <s v="Malaria"/>
    <x v="10"/>
    <n v="43771"/>
    <x v="0"/>
    <s v="Normal"/>
  </r>
  <r>
    <x v="18"/>
    <x v="3"/>
    <d v="2025-01-28T00:00:00"/>
    <x v="0"/>
    <d v="2025-02-01T00:00:00"/>
    <n v="4"/>
    <x v="0"/>
    <s v="Prostate Cancer"/>
    <x v="11"/>
    <n v="29104"/>
    <x v="0"/>
    <s v="Normal"/>
  </r>
  <r>
    <x v="19"/>
    <x v="0"/>
    <d v="2025-01-18T00:00:00"/>
    <x v="0"/>
    <d v="2025-01-31T00:00:00"/>
    <n v="13"/>
    <x v="2"/>
    <s v="Arthritis"/>
    <x v="0"/>
    <n v="23052"/>
    <x v="0"/>
    <s v="Normal"/>
  </r>
  <r>
    <x v="20"/>
    <x v="3"/>
    <d v="2025-02-04T00:00:00"/>
    <x v="1"/>
    <d v="2025-02-07T00:00:00"/>
    <n v="3"/>
    <x v="3"/>
    <s v="Leukemia"/>
    <x v="3"/>
    <n v="57588"/>
    <x v="0"/>
    <s v="Expensive"/>
  </r>
  <r>
    <x v="21"/>
    <x v="1"/>
    <d v="2025-02-05T00:00:00"/>
    <x v="1"/>
    <d v="2025-02-06T00:00:00"/>
    <n v="1"/>
    <x v="3"/>
    <s v="Flu"/>
    <x v="1"/>
    <n v="37291"/>
    <x v="1"/>
    <s v="Normal"/>
  </r>
  <r>
    <x v="22"/>
    <x v="1"/>
    <d v="2025-03-03T00:00:00"/>
    <x v="2"/>
    <d v="2025-03-16T00:00:00"/>
    <n v="13"/>
    <x v="2"/>
    <s v="Gastroenteritis"/>
    <x v="7"/>
    <n v="40810"/>
    <x v="1"/>
    <s v="Normal"/>
  </r>
  <r>
    <x v="23"/>
    <x v="6"/>
    <d v="2025-03-07T00:00:00"/>
    <x v="2"/>
    <d v="2025-03-08T00:00:00"/>
    <n v="1"/>
    <x v="3"/>
    <s v="Hypertension"/>
    <x v="8"/>
    <n v="22903"/>
    <x v="0"/>
    <s v="Normal"/>
  </r>
  <r>
    <x v="24"/>
    <x v="5"/>
    <d v="2025-01-06T00:00:00"/>
    <x v="0"/>
    <d v="2025-01-07T00:00:00"/>
    <n v="1"/>
    <x v="3"/>
    <s v="Hernia"/>
    <x v="12"/>
    <n v="33467"/>
    <x v="1"/>
    <s v="Normal"/>
  </r>
  <r>
    <x v="25"/>
    <x v="3"/>
    <d v="2025-01-30T00:00:00"/>
    <x v="0"/>
    <d v="2025-02-08T00:00:00"/>
    <n v="9"/>
    <x v="2"/>
    <s v="Prostate Cancer"/>
    <x v="3"/>
    <n v="41331"/>
    <x v="0"/>
    <s v="Normal"/>
  </r>
  <r>
    <x v="26"/>
    <x v="4"/>
    <d v="2025-04-01T00:00:00"/>
    <x v="3"/>
    <d v="2025-04-07T00:00:00"/>
    <n v="6"/>
    <x v="0"/>
    <s v="Normal Delivery"/>
    <x v="9"/>
    <n v="26188"/>
    <x v="0"/>
    <s v="Normal"/>
  </r>
  <r>
    <x v="27"/>
    <x v="3"/>
    <d v="2025-01-28T00:00:00"/>
    <x v="0"/>
    <d v="2025-02-06T00:00:00"/>
    <n v="9"/>
    <x v="2"/>
    <s v="Prostate Cancer"/>
    <x v="11"/>
    <n v="44508"/>
    <x v="0"/>
    <s v="Normal"/>
  </r>
  <r>
    <x v="28"/>
    <x v="0"/>
    <d v="2025-02-27T00:00:00"/>
    <x v="1"/>
    <d v="2025-03-09T00:00:00"/>
    <n v="10"/>
    <x v="2"/>
    <s v="Dislocation"/>
    <x v="0"/>
    <n v="32792"/>
    <x v="0"/>
    <s v="Normal"/>
  </r>
  <r>
    <x v="29"/>
    <x v="4"/>
    <d v="2025-01-28T00:00:00"/>
    <x v="0"/>
    <d v="2025-02-09T00:00:00"/>
    <n v="12"/>
    <x v="2"/>
    <s v="Normal Delivery"/>
    <x v="9"/>
    <n v="36500"/>
    <x v="1"/>
    <s v="Normal"/>
  </r>
  <r>
    <x v="30"/>
    <x v="5"/>
    <d v="2025-03-07T00:00:00"/>
    <x v="2"/>
    <d v="2025-03-21T00:00:00"/>
    <n v="14"/>
    <x v="2"/>
    <s v="Appendicitis"/>
    <x v="6"/>
    <n v="32780"/>
    <x v="0"/>
    <s v="Normal"/>
  </r>
  <r>
    <x v="31"/>
    <x v="4"/>
    <d v="2025-03-25T00:00:00"/>
    <x v="2"/>
    <d v="2025-03-30T00:00:00"/>
    <n v="5"/>
    <x v="0"/>
    <s v="Normal Delivery"/>
    <x v="4"/>
    <n v="62227"/>
    <x v="0"/>
    <s v="Expensive"/>
  </r>
  <r>
    <x v="32"/>
    <x v="4"/>
    <d v="2025-02-26T00:00:00"/>
    <x v="1"/>
    <d v="2025-03-07T00:00:00"/>
    <n v="9"/>
    <x v="2"/>
    <s v="C-Section"/>
    <x v="4"/>
    <n v="39838"/>
    <x v="1"/>
    <s v="Normal"/>
  </r>
  <r>
    <x v="33"/>
    <x v="0"/>
    <d v="2025-02-28T00:00:00"/>
    <x v="1"/>
    <d v="2025-03-05T00:00:00"/>
    <n v="5"/>
    <x v="0"/>
    <s v="Fracture"/>
    <x v="5"/>
    <n v="27307"/>
    <x v="0"/>
    <s v="Normal"/>
  </r>
  <r>
    <x v="34"/>
    <x v="4"/>
    <d v="2025-03-27T00:00:00"/>
    <x v="2"/>
    <d v="2025-03-29T00:00:00"/>
    <n v="2"/>
    <x v="3"/>
    <s v="Normal Delivery"/>
    <x v="4"/>
    <n v="49871"/>
    <x v="0"/>
    <s v="Normal"/>
  </r>
  <r>
    <x v="35"/>
    <x v="1"/>
    <d v="2025-03-10T00:00:00"/>
    <x v="2"/>
    <d v="2025-03-11T00:00:00"/>
    <n v="1"/>
    <x v="3"/>
    <s v="Flu"/>
    <x v="1"/>
    <n v="25350"/>
    <x v="0"/>
    <s v="Normal"/>
  </r>
  <r>
    <x v="36"/>
    <x v="0"/>
    <d v="2025-01-27T00:00:00"/>
    <x v="0"/>
    <m/>
    <m/>
    <x v="1"/>
    <s v="Sprain"/>
    <x v="0"/>
    <n v="42506"/>
    <x v="0"/>
    <s v="Normal"/>
  </r>
  <r>
    <x v="37"/>
    <x v="5"/>
    <d v="2025-03-04T00:00:00"/>
    <x v="2"/>
    <d v="2025-03-17T00:00:00"/>
    <n v="13"/>
    <x v="2"/>
    <s v="Hernia"/>
    <x v="6"/>
    <n v="4945.2"/>
    <x v="0"/>
    <s v="Normal"/>
  </r>
  <r>
    <x v="38"/>
    <x v="4"/>
    <d v="2025-02-23T00:00:00"/>
    <x v="1"/>
    <d v="2025-02-26T00:00:00"/>
    <n v="3"/>
    <x v="3"/>
    <s v="C-Section"/>
    <x v="9"/>
    <n v="24062"/>
    <x v="0"/>
    <s v="Normal"/>
  </r>
  <r>
    <x v="39"/>
    <x v="0"/>
    <d v="2025-01-30T00:00:00"/>
    <x v="0"/>
    <d v="2025-02-11T00:00:00"/>
    <n v="12"/>
    <x v="2"/>
    <s v="Dislocation"/>
    <x v="0"/>
    <n v="42362"/>
    <x v="0"/>
    <s v="Normal"/>
  </r>
  <r>
    <x v="40"/>
    <x v="1"/>
    <d v="2025-02-14T00:00:00"/>
    <x v="1"/>
    <d v="2025-02-18T00:00:00"/>
    <n v="4"/>
    <x v="0"/>
    <s v="Migraine"/>
    <x v="7"/>
    <n v="48862"/>
    <x v="0"/>
    <s v="Normal"/>
  </r>
  <r>
    <x v="41"/>
    <x v="0"/>
    <d v="2025-01-21T00:00:00"/>
    <x v="0"/>
    <d v="2025-02-02T00:00:00"/>
    <n v="12"/>
    <x v="2"/>
    <s v="Dislocation"/>
    <x v="0"/>
    <n v="42056"/>
    <x v="2"/>
    <s v="Normal"/>
  </r>
  <r>
    <x v="42"/>
    <x v="3"/>
    <d v="2025-03-17T00:00:00"/>
    <x v="2"/>
    <d v="2025-03-29T00:00:00"/>
    <n v="12"/>
    <x v="2"/>
    <s v="Prostate Cancer"/>
    <x v="11"/>
    <n v="38612"/>
    <x v="0"/>
    <s v="Normal"/>
  </r>
  <r>
    <x v="43"/>
    <x v="4"/>
    <d v="2025-02-06T00:00:00"/>
    <x v="1"/>
    <d v="2025-02-11T00:00:00"/>
    <n v="5"/>
    <x v="0"/>
    <s v="Normal Delivery"/>
    <x v="4"/>
    <n v="36387"/>
    <x v="1"/>
    <s v="Normal"/>
  </r>
  <r>
    <x v="44"/>
    <x v="5"/>
    <d v="2025-02-04T00:00:00"/>
    <x v="1"/>
    <d v="2025-02-09T00:00:00"/>
    <n v="5"/>
    <x v="0"/>
    <s v="Fracture Repair"/>
    <x v="6"/>
    <n v="22258"/>
    <x v="0"/>
    <s v="Normal"/>
  </r>
  <r>
    <x v="45"/>
    <x v="6"/>
    <d v="2025-03-06T00:00:00"/>
    <x v="2"/>
    <d v="2025-03-17T00:00:00"/>
    <n v="11"/>
    <x v="2"/>
    <s v="Angina"/>
    <x v="13"/>
    <n v="31362"/>
    <x v="0"/>
    <s v="Normal"/>
  </r>
  <r>
    <x v="46"/>
    <x v="2"/>
    <d v="2025-01-05T00:00:00"/>
    <x v="0"/>
    <d v="2025-01-14T00:00:00"/>
    <n v="9"/>
    <x v="2"/>
    <s v="Bronchitis"/>
    <x v="2"/>
    <n v="34472"/>
    <x v="0"/>
    <s v="Normal"/>
  </r>
  <r>
    <x v="47"/>
    <x v="6"/>
    <d v="2025-01-20T00:00:00"/>
    <x v="0"/>
    <d v="2025-01-28T00:00:00"/>
    <n v="8"/>
    <x v="2"/>
    <s v="Heart Failure"/>
    <x v="13"/>
    <n v="52685"/>
    <x v="0"/>
    <s v="Expensive"/>
  </r>
  <r>
    <x v="48"/>
    <x v="3"/>
    <d v="2025-03-31T00:00:00"/>
    <x v="2"/>
    <d v="2025-04-12T00:00:00"/>
    <n v="12"/>
    <x v="2"/>
    <s v="Prostate Cancer"/>
    <x v="3"/>
    <n v="44123"/>
    <x v="0"/>
    <s v="Normal"/>
  </r>
  <r>
    <x v="49"/>
    <x v="4"/>
    <d v="2025-02-20T00:00:00"/>
    <x v="1"/>
    <d v="2025-03-02T00:00:00"/>
    <n v="10"/>
    <x v="2"/>
    <s v="Preterm Labor"/>
    <x v="9"/>
    <n v="18844"/>
    <x v="0"/>
    <s v="Normal"/>
  </r>
  <r>
    <x v="50"/>
    <x v="2"/>
    <d v="2025-02-17T00:00:00"/>
    <x v="1"/>
    <d v="2025-03-01T00:00:00"/>
    <n v="12"/>
    <x v="2"/>
    <s v="Malaria"/>
    <x v="10"/>
    <n v="43889"/>
    <x v="0"/>
    <s v="Normal"/>
  </r>
  <r>
    <x v="51"/>
    <x v="2"/>
    <d v="2025-02-18T00:00:00"/>
    <x v="1"/>
    <d v="2025-02-22T00:00:00"/>
    <n v="4"/>
    <x v="0"/>
    <s v="Pneumonia"/>
    <x v="2"/>
    <n v="35379"/>
    <x v="1"/>
    <s v="Normal"/>
  </r>
  <r>
    <x v="52"/>
    <x v="3"/>
    <d v="2025-01-23T00:00:00"/>
    <x v="0"/>
    <d v="2025-02-04T00:00:00"/>
    <n v="12"/>
    <x v="2"/>
    <s v="Breast Cancer"/>
    <x v="11"/>
    <n v="31877"/>
    <x v="0"/>
    <s v="Normal"/>
  </r>
  <r>
    <x v="53"/>
    <x v="1"/>
    <d v="2025-02-04T00:00:00"/>
    <x v="1"/>
    <d v="2025-02-13T00:00:00"/>
    <n v="9"/>
    <x v="2"/>
    <s v="Migraine"/>
    <x v="7"/>
    <n v="47340"/>
    <x v="0"/>
    <s v="Normal"/>
  </r>
  <r>
    <x v="54"/>
    <x v="2"/>
    <d v="2025-02-04T00:00:00"/>
    <x v="1"/>
    <d v="2025-02-05T00:00:00"/>
    <n v="1"/>
    <x v="3"/>
    <s v="Pneumonia"/>
    <x v="2"/>
    <n v="52372"/>
    <x v="0"/>
    <s v="Expensive"/>
  </r>
  <r>
    <x v="55"/>
    <x v="1"/>
    <d v="2025-03-22T00:00:00"/>
    <x v="2"/>
    <d v="2025-03-24T00:00:00"/>
    <n v="2"/>
    <x v="3"/>
    <s v="Migraine"/>
    <x v="7"/>
    <n v="51175"/>
    <x v="1"/>
    <s v="Expensive"/>
  </r>
  <r>
    <x v="56"/>
    <x v="2"/>
    <d v="2025-02-12T00:00:00"/>
    <x v="1"/>
    <d v="2025-02-20T00:00:00"/>
    <n v="8"/>
    <x v="2"/>
    <s v="Malaria"/>
    <x v="10"/>
    <n v="29929"/>
    <x v="0"/>
    <s v="Normal"/>
  </r>
  <r>
    <x v="57"/>
    <x v="4"/>
    <d v="2025-02-18T00:00:00"/>
    <x v="1"/>
    <d v="2025-02-23T00:00:00"/>
    <n v="5"/>
    <x v="0"/>
    <s v="Normal Delivery"/>
    <x v="4"/>
    <n v="36289"/>
    <x v="0"/>
    <s v="Normal"/>
  </r>
  <r>
    <x v="58"/>
    <x v="2"/>
    <d v="2025-02-05T00:00:00"/>
    <x v="1"/>
    <d v="2025-02-19T00:00:00"/>
    <n v="14"/>
    <x v="2"/>
    <s v="Malaria"/>
    <x v="10"/>
    <n v="43975"/>
    <x v="0"/>
    <s v="Normal"/>
  </r>
  <r>
    <x v="59"/>
    <x v="5"/>
    <d v="2025-02-12T00:00:00"/>
    <x v="1"/>
    <d v="2025-02-24T00:00:00"/>
    <n v="12"/>
    <x v="2"/>
    <s v="Appendicitis"/>
    <x v="6"/>
    <n v="51707"/>
    <x v="0"/>
    <s v="Expensive"/>
  </r>
  <r>
    <x v="60"/>
    <x v="3"/>
    <d v="2025-03-24T00:00:00"/>
    <x v="2"/>
    <d v="2025-04-07T00:00:00"/>
    <n v="14"/>
    <x v="2"/>
    <s v="Lymphoma"/>
    <x v="3"/>
    <n v="34250"/>
    <x v="0"/>
    <s v="Normal"/>
  </r>
  <r>
    <x v="61"/>
    <x v="5"/>
    <d v="2025-02-08T00:00:00"/>
    <x v="1"/>
    <d v="2025-02-17T00:00:00"/>
    <n v="9"/>
    <x v="2"/>
    <s v="Appendicitis"/>
    <x v="6"/>
    <n v="37772"/>
    <x v="0"/>
    <s v="Normal"/>
  </r>
  <r>
    <x v="62"/>
    <x v="4"/>
    <d v="2025-03-16T00:00:00"/>
    <x v="2"/>
    <d v="2025-03-24T00:00:00"/>
    <n v="8"/>
    <x v="2"/>
    <s v="C-Section"/>
    <x v="4"/>
    <n v="26724"/>
    <x v="0"/>
    <s v="Normal"/>
  </r>
  <r>
    <x v="63"/>
    <x v="3"/>
    <d v="2025-02-03T00:00:00"/>
    <x v="1"/>
    <d v="2025-02-16T00:00:00"/>
    <n v="13"/>
    <x v="2"/>
    <s v="Lymphoma"/>
    <x v="11"/>
    <n v="25646"/>
    <x v="0"/>
    <s v="Normal"/>
  </r>
  <r>
    <x v="64"/>
    <x v="6"/>
    <d v="2025-01-26T00:00:00"/>
    <x v="0"/>
    <d v="2025-01-27T00:00:00"/>
    <n v="1"/>
    <x v="3"/>
    <s v="Hypertension"/>
    <x v="8"/>
    <n v="49750"/>
    <x v="2"/>
    <s v="Normal"/>
  </r>
  <r>
    <x v="65"/>
    <x v="0"/>
    <d v="2025-02-14T00:00:00"/>
    <x v="1"/>
    <d v="2025-02-26T00:00:00"/>
    <n v="12"/>
    <x v="2"/>
    <s v="Fracture"/>
    <x v="5"/>
    <n v="56275"/>
    <x v="0"/>
    <s v="Expensive"/>
  </r>
  <r>
    <x v="66"/>
    <x v="4"/>
    <d v="2025-01-15T00:00:00"/>
    <x v="0"/>
    <d v="2025-01-19T00:00:00"/>
    <n v="4"/>
    <x v="0"/>
    <s v="Preeclampsia"/>
    <x v="4"/>
    <n v="39136"/>
    <x v="1"/>
    <s v="Normal"/>
  </r>
  <r>
    <x v="67"/>
    <x v="0"/>
    <d v="2025-02-24T00:00:00"/>
    <x v="1"/>
    <d v="2025-03-08T00:00:00"/>
    <n v="12"/>
    <x v="2"/>
    <s v="Sprain"/>
    <x v="5"/>
    <n v="52042"/>
    <x v="1"/>
    <s v="Expensive"/>
  </r>
  <r>
    <x v="68"/>
    <x v="1"/>
    <d v="2025-03-05T00:00:00"/>
    <x v="2"/>
    <d v="2025-03-11T00:00:00"/>
    <n v="6"/>
    <x v="0"/>
    <s v="Diabetes"/>
    <x v="1"/>
    <n v="44340"/>
    <x v="0"/>
    <s v="Normal"/>
  </r>
  <r>
    <x v="69"/>
    <x v="5"/>
    <d v="2025-03-12T00:00:00"/>
    <x v="2"/>
    <d v="2025-03-15T00:00:00"/>
    <n v="3"/>
    <x v="3"/>
    <s v="Fracture Repair"/>
    <x v="6"/>
    <n v="32259"/>
    <x v="0"/>
    <s v="Normal"/>
  </r>
  <r>
    <x v="70"/>
    <x v="0"/>
    <d v="2025-02-01T00:00:00"/>
    <x v="1"/>
    <d v="2025-02-13T00:00:00"/>
    <n v="12"/>
    <x v="2"/>
    <s v="Fracture"/>
    <x v="0"/>
    <n v="44337"/>
    <x v="0"/>
    <s v="Normal"/>
  </r>
  <r>
    <x v="71"/>
    <x v="4"/>
    <d v="2025-01-16T00:00:00"/>
    <x v="0"/>
    <d v="2025-01-19T00:00:00"/>
    <n v="3"/>
    <x v="3"/>
    <s v="Preeclampsia"/>
    <x v="9"/>
    <n v="58456"/>
    <x v="0"/>
    <s v="Expensive"/>
  </r>
  <r>
    <x v="72"/>
    <x v="3"/>
    <d v="2025-03-01T00:00:00"/>
    <x v="2"/>
    <d v="2025-03-03T00:00:00"/>
    <n v="2"/>
    <x v="3"/>
    <s v="Breast Cancer"/>
    <x v="11"/>
    <n v="39570"/>
    <x v="2"/>
    <s v="Normal"/>
  </r>
  <r>
    <x v="73"/>
    <x v="6"/>
    <d v="2025-03-31T00:00:00"/>
    <x v="2"/>
    <d v="2025-04-06T00:00:00"/>
    <n v="6"/>
    <x v="0"/>
    <s v="Hypertension"/>
    <x v="13"/>
    <n v="58776"/>
    <x v="1"/>
    <s v="Expensive"/>
  </r>
  <r>
    <x v="74"/>
    <x v="1"/>
    <d v="2025-01-14T00:00:00"/>
    <x v="0"/>
    <d v="2025-01-25T00:00:00"/>
    <n v="11"/>
    <x v="2"/>
    <s v="Diabetes"/>
    <x v="7"/>
    <n v="8563"/>
    <x v="0"/>
    <s v="Normal"/>
  </r>
  <r>
    <x v="75"/>
    <x v="3"/>
    <d v="2025-01-27T00:00:00"/>
    <x v="0"/>
    <d v="2025-02-07T00:00:00"/>
    <n v="11"/>
    <x v="2"/>
    <s v="Leukemia"/>
    <x v="11"/>
    <n v="49863"/>
    <x v="1"/>
    <s v="Normal"/>
  </r>
  <r>
    <x v="76"/>
    <x v="0"/>
    <d v="2025-03-14T00:00:00"/>
    <x v="2"/>
    <d v="2025-03-24T00:00:00"/>
    <n v="10"/>
    <x v="2"/>
    <s v="Arthritis"/>
    <x v="0"/>
    <n v="41045"/>
    <x v="0"/>
    <s v="Normal"/>
  </r>
  <r>
    <x v="77"/>
    <x v="2"/>
    <d v="2025-01-31T00:00:00"/>
    <x v="0"/>
    <d v="2025-02-05T00:00:00"/>
    <n v="5"/>
    <x v="0"/>
    <s v="Bronchitis"/>
    <x v="2"/>
    <n v="36412"/>
    <x v="0"/>
    <s v="Normal"/>
  </r>
  <r>
    <x v="78"/>
    <x v="6"/>
    <d v="2025-03-08T00:00:00"/>
    <x v="2"/>
    <d v="2025-03-09T00:00:00"/>
    <n v="1"/>
    <x v="3"/>
    <s v="Heart Failure"/>
    <x v="13"/>
    <n v="41101"/>
    <x v="0"/>
    <s v="Normal"/>
  </r>
  <r>
    <x v="79"/>
    <x v="2"/>
    <d v="2025-03-28T00:00:00"/>
    <x v="2"/>
    <d v="2025-04-02T00:00:00"/>
    <n v="5"/>
    <x v="0"/>
    <s v="Bronchitis"/>
    <x v="2"/>
    <n v="16149"/>
    <x v="0"/>
    <s v="Normal"/>
  </r>
  <r>
    <x v="80"/>
    <x v="2"/>
    <d v="2025-01-06T00:00:00"/>
    <x v="0"/>
    <d v="2025-01-16T00:00:00"/>
    <n v="10"/>
    <x v="2"/>
    <s v="Bronchitis"/>
    <x v="10"/>
    <n v="37364"/>
    <x v="0"/>
    <s v="Normal"/>
  </r>
  <r>
    <x v="81"/>
    <x v="6"/>
    <d v="2025-01-08T00:00:00"/>
    <x v="0"/>
    <d v="2025-01-09T00:00:00"/>
    <n v="1"/>
    <x v="3"/>
    <s v="Angina"/>
    <x v="13"/>
    <n v="44285"/>
    <x v="1"/>
    <s v="Normal"/>
  </r>
  <r>
    <x v="82"/>
    <x v="1"/>
    <d v="2025-02-07T00:00:00"/>
    <x v="1"/>
    <d v="2025-02-16T00:00:00"/>
    <n v="9"/>
    <x v="2"/>
    <s v="Gastroenteritis"/>
    <x v="1"/>
    <n v="57735"/>
    <x v="0"/>
    <s v="Expensive"/>
  </r>
  <r>
    <x v="83"/>
    <x v="2"/>
    <d v="2025-03-10T00:00:00"/>
    <x v="2"/>
    <d v="2025-03-13T00:00:00"/>
    <n v="3"/>
    <x v="3"/>
    <s v="Pneumonia"/>
    <x v="10"/>
    <n v="33781"/>
    <x v="0"/>
    <s v="Normal"/>
  </r>
  <r>
    <x v="84"/>
    <x v="2"/>
    <d v="2025-02-01T00:00:00"/>
    <x v="1"/>
    <d v="2025-02-06T00:00:00"/>
    <n v="5"/>
    <x v="0"/>
    <s v="Dehydration"/>
    <x v="2"/>
    <n v="30298"/>
    <x v="0"/>
    <s v="Normal"/>
  </r>
  <r>
    <x v="85"/>
    <x v="1"/>
    <d v="2025-01-03T00:00:00"/>
    <x v="0"/>
    <d v="2025-01-11T00:00:00"/>
    <n v="8"/>
    <x v="2"/>
    <s v="Gastroenteritis"/>
    <x v="7"/>
    <n v="33979"/>
    <x v="0"/>
    <s v="Normal"/>
  </r>
  <r>
    <x v="86"/>
    <x v="1"/>
    <d v="2025-03-09T00:00:00"/>
    <x v="2"/>
    <d v="2025-03-15T00:00:00"/>
    <n v="6"/>
    <x v="0"/>
    <s v="Diabetes"/>
    <x v="1"/>
    <n v="50985"/>
    <x v="0"/>
    <s v="Expensive"/>
  </r>
  <r>
    <x v="87"/>
    <x v="5"/>
    <d v="2025-02-13T00:00:00"/>
    <x v="1"/>
    <d v="2025-02-25T00:00:00"/>
    <n v="12"/>
    <x v="2"/>
    <s v="Appendicitis"/>
    <x v="12"/>
    <n v="43945"/>
    <x v="0"/>
    <s v="Normal"/>
  </r>
  <r>
    <x v="88"/>
    <x v="1"/>
    <d v="2025-03-31T00:00:00"/>
    <x v="2"/>
    <d v="2025-04-11T00:00:00"/>
    <n v="11"/>
    <x v="2"/>
    <s v="Diabetes"/>
    <x v="7"/>
    <n v="33643"/>
    <x v="0"/>
    <s v="Normal"/>
  </r>
  <r>
    <x v="89"/>
    <x v="2"/>
    <d v="2025-01-20T00:00:00"/>
    <x v="0"/>
    <d v="2025-02-02T00:00:00"/>
    <n v="13"/>
    <x v="2"/>
    <s v="Bronchitis"/>
    <x v="2"/>
    <n v="46159"/>
    <x v="0"/>
    <s v="Normal"/>
  </r>
  <r>
    <x v="90"/>
    <x v="5"/>
    <d v="2025-02-16T00:00:00"/>
    <x v="1"/>
    <m/>
    <m/>
    <x v="1"/>
    <s v="Appendicitis"/>
    <x v="6"/>
    <n v="41165"/>
    <x v="0"/>
    <s v="Normal"/>
  </r>
  <r>
    <x v="91"/>
    <x v="6"/>
    <d v="2025-02-25T00:00:00"/>
    <x v="1"/>
    <d v="2025-03-01T00:00:00"/>
    <n v="4"/>
    <x v="0"/>
    <s v="Angina"/>
    <x v="13"/>
    <n v="51624"/>
    <x v="0"/>
    <s v="Expensive"/>
  </r>
  <r>
    <x v="92"/>
    <x v="1"/>
    <d v="2025-01-26T00:00:00"/>
    <x v="0"/>
    <d v="2025-02-02T00:00:00"/>
    <n v="7"/>
    <x v="0"/>
    <s v="Diabetes"/>
    <x v="7"/>
    <n v="31575"/>
    <x v="0"/>
    <s v="Normal"/>
  </r>
  <r>
    <x v="93"/>
    <x v="2"/>
    <d v="2025-01-31T00:00:00"/>
    <x v="0"/>
    <d v="2025-02-13T00:00:00"/>
    <n v="13"/>
    <x v="2"/>
    <s v="Malaria"/>
    <x v="10"/>
    <n v="36068"/>
    <x v="1"/>
    <s v="Normal"/>
  </r>
  <r>
    <x v="94"/>
    <x v="1"/>
    <d v="2025-03-16T00:00:00"/>
    <x v="2"/>
    <d v="2025-03-25T00:00:00"/>
    <n v="9"/>
    <x v="2"/>
    <s v="Migraine"/>
    <x v="7"/>
    <n v="35295"/>
    <x v="0"/>
    <s v="Normal"/>
  </r>
  <r>
    <x v="95"/>
    <x v="3"/>
    <d v="2025-01-22T00:00:00"/>
    <x v="0"/>
    <d v="2025-01-30T00:00:00"/>
    <n v="8"/>
    <x v="2"/>
    <s v="Lymphoma"/>
    <x v="3"/>
    <n v="22438"/>
    <x v="0"/>
    <s v="Normal"/>
  </r>
  <r>
    <x v="96"/>
    <x v="2"/>
    <d v="2025-01-08T00:00:00"/>
    <x v="0"/>
    <m/>
    <m/>
    <x v="1"/>
    <s v="Dehydration"/>
    <x v="10"/>
    <n v="43553"/>
    <x v="0"/>
    <s v="Normal"/>
  </r>
  <r>
    <x v="97"/>
    <x v="6"/>
    <d v="2025-01-06T00:00:00"/>
    <x v="0"/>
    <d v="2025-01-07T00:00:00"/>
    <n v="1"/>
    <x v="3"/>
    <s v="Hypertension"/>
    <x v="13"/>
    <n v="43133"/>
    <x v="0"/>
    <s v="Normal"/>
  </r>
  <r>
    <x v="98"/>
    <x v="2"/>
    <d v="2025-01-10T00:00:00"/>
    <x v="0"/>
    <d v="2025-01-22T00:00:00"/>
    <n v="12"/>
    <x v="2"/>
    <s v="Bronchitis"/>
    <x v="10"/>
    <n v="40061"/>
    <x v="0"/>
    <s v="Normal"/>
  </r>
  <r>
    <x v="99"/>
    <x v="5"/>
    <d v="2025-01-16T00:00:00"/>
    <x v="0"/>
    <d v="2025-01-27T00:00:00"/>
    <n v="11"/>
    <x v="2"/>
    <s v="Gallstones"/>
    <x v="12"/>
    <n v="37185"/>
    <x v="1"/>
    <s v="Normal"/>
  </r>
  <r>
    <x v="100"/>
    <x v="2"/>
    <d v="2025-02-25T00:00:00"/>
    <x v="1"/>
    <d v="2025-03-06T00:00:00"/>
    <n v="9"/>
    <x v="2"/>
    <s v="Bronchitis"/>
    <x v="2"/>
    <n v="23016"/>
    <x v="2"/>
    <s v="Normal"/>
  </r>
  <r>
    <x v="101"/>
    <x v="2"/>
    <d v="2025-03-11T00:00:00"/>
    <x v="2"/>
    <d v="2025-03-14T00:00:00"/>
    <n v="3"/>
    <x v="3"/>
    <s v="Malaria"/>
    <x v="2"/>
    <n v="34952"/>
    <x v="0"/>
    <s v="Normal"/>
  </r>
  <r>
    <x v="102"/>
    <x v="1"/>
    <d v="2025-01-02T00:00:00"/>
    <x v="0"/>
    <d v="2025-01-12T00:00:00"/>
    <n v="10"/>
    <x v="2"/>
    <s v="Migraine"/>
    <x v="7"/>
    <n v="35887"/>
    <x v="0"/>
    <s v="Normal"/>
  </r>
  <r>
    <x v="103"/>
    <x v="4"/>
    <d v="2025-03-01T00:00:00"/>
    <x v="2"/>
    <d v="2025-03-02T00:00:00"/>
    <n v="1"/>
    <x v="3"/>
    <s v="Preeclampsia"/>
    <x v="4"/>
    <n v="30373"/>
    <x v="0"/>
    <s v="Normal"/>
  </r>
  <r>
    <x v="104"/>
    <x v="6"/>
    <d v="2025-03-12T00:00:00"/>
    <x v="2"/>
    <d v="2025-03-13T00:00:00"/>
    <n v="1"/>
    <x v="3"/>
    <s v="Heart Failure"/>
    <x v="8"/>
    <n v="38065"/>
    <x v="0"/>
    <s v="Normal"/>
  </r>
  <r>
    <x v="105"/>
    <x v="4"/>
    <d v="2025-02-24T00:00:00"/>
    <x v="1"/>
    <d v="2025-03-08T00:00:00"/>
    <n v="12"/>
    <x v="2"/>
    <s v="Normal Delivery"/>
    <x v="4"/>
    <n v="44849"/>
    <x v="0"/>
    <s v="Normal"/>
  </r>
  <r>
    <x v="106"/>
    <x v="2"/>
    <d v="2025-02-13T00:00:00"/>
    <x v="1"/>
    <d v="2025-02-24T00:00:00"/>
    <n v="11"/>
    <x v="2"/>
    <s v="Malaria"/>
    <x v="2"/>
    <n v="62634"/>
    <x v="0"/>
    <s v="Expensive"/>
  </r>
  <r>
    <x v="107"/>
    <x v="6"/>
    <d v="2025-02-26T00:00:00"/>
    <x v="1"/>
    <d v="2025-03-07T00:00:00"/>
    <n v="9"/>
    <x v="2"/>
    <s v="Hypertension"/>
    <x v="13"/>
    <n v="42095"/>
    <x v="0"/>
    <s v="Normal"/>
  </r>
  <r>
    <x v="108"/>
    <x v="4"/>
    <d v="2025-02-21T00:00:00"/>
    <x v="1"/>
    <d v="2025-03-01T00:00:00"/>
    <n v="8"/>
    <x v="2"/>
    <s v="C-Section"/>
    <x v="4"/>
    <n v="43091"/>
    <x v="0"/>
    <s v="Normal"/>
  </r>
  <r>
    <x v="109"/>
    <x v="4"/>
    <d v="2025-01-06T00:00:00"/>
    <x v="0"/>
    <d v="2025-01-19T00:00:00"/>
    <n v="13"/>
    <x v="2"/>
    <s v="C-Section"/>
    <x v="4"/>
    <n v="39107"/>
    <x v="0"/>
    <s v="Normal"/>
  </r>
  <r>
    <x v="110"/>
    <x v="4"/>
    <d v="2025-01-30T00:00:00"/>
    <x v="0"/>
    <m/>
    <m/>
    <x v="1"/>
    <s v="Preterm Labor"/>
    <x v="4"/>
    <n v="16975"/>
    <x v="0"/>
    <s v="Normal"/>
  </r>
  <r>
    <x v="111"/>
    <x v="4"/>
    <d v="2025-03-13T00:00:00"/>
    <x v="2"/>
    <d v="2025-03-20T00:00:00"/>
    <n v="7"/>
    <x v="0"/>
    <s v="C-Section"/>
    <x v="4"/>
    <n v="39682"/>
    <x v="0"/>
    <s v="Normal"/>
  </r>
  <r>
    <x v="112"/>
    <x v="0"/>
    <d v="2025-02-22T00:00:00"/>
    <x v="1"/>
    <d v="2025-02-26T00:00:00"/>
    <n v="4"/>
    <x v="0"/>
    <s v="Fracture"/>
    <x v="5"/>
    <n v="40723"/>
    <x v="0"/>
    <s v="Normal"/>
  </r>
  <r>
    <x v="113"/>
    <x v="5"/>
    <d v="2025-03-29T00:00:00"/>
    <x v="2"/>
    <d v="2025-04-09T00:00:00"/>
    <n v="11"/>
    <x v="2"/>
    <s v="Appendicitis"/>
    <x v="12"/>
    <n v="69559"/>
    <x v="0"/>
    <s v="Expensive"/>
  </r>
  <r>
    <x v="114"/>
    <x v="5"/>
    <d v="2025-01-31T00:00:00"/>
    <x v="0"/>
    <d v="2025-02-10T00:00:00"/>
    <n v="10"/>
    <x v="2"/>
    <s v="Appendicitis"/>
    <x v="6"/>
    <n v="37692"/>
    <x v="0"/>
    <s v="Normal"/>
  </r>
  <r>
    <x v="115"/>
    <x v="4"/>
    <d v="2025-03-17T00:00:00"/>
    <x v="2"/>
    <d v="2025-03-31T00:00:00"/>
    <n v="14"/>
    <x v="2"/>
    <s v="Preeclampsia"/>
    <x v="4"/>
    <n v="43619"/>
    <x v="0"/>
    <s v="Normal"/>
  </r>
  <r>
    <x v="116"/>
    <x v="5"/>
    <d v="2025-02-09T00:00:00"/>
    <x v="1"/>
    <d v="2025-02-12T00:00:00"/>
    <n v="3"/>
    <x v="3"/>
    <s v="Fracture Repair"/>
    <x v="6"/>
    <n v="39583"/>
    <x v="0"/>
    <s v="Normal"/>
  </r>
  <r>
    <x v="117"/>
    <x v="2"/>
    <d v="2025-03-23T00:00:00"/>
    <x v="2"/>
    <d v="2025-03-26T00:00:00"/>
    <n v="3"/>
    <x v="3"/>
    <s v="Pneumonia"/>
    <x v="10"/>
    <n v="25976"/>
    <x v="0"/>
    <s v="Normal"/>
  </r>
  <r>
    <x v="118"/>
    <x v="1"/>
    <d v="2025-03-07T00:00:00"/>
    <x v="2"/>
    <d v="2025-03-19T00:00:00"/>
    <n v="12"/>
    <x v="2"/>
    <s v="Gastroenteritis"/>
    <x v="7"/>
    <n v="53714"/>
    <x v="0"/>
    <s v="Expensive"/>
  </r>
  <r>
    <x v="119"/>
    <x v="4"/>
    <d v="2025-02-17T00:00:00"/>
    <x v="1"/>
    <d v="2025-02-22T00:00:00"/>
    <n v="5"/>
    <x v="0"/>
    <s v="Preterm Labor"/>
    <x v="9"/>
    <n v="49023"/>
    <x v="0"/>
    <s v="Normal"/>
  </r>
  <r>
    <x v="120"/>
    <x v="0"/>
    <d v="2025-01-01T00:00:00"/>
    <x v="0"/>
    <d v="2025-01-15T00:00:00"/>
    <n v="14"/>
    <x v="2"/>
    <s v="Dislocation"/>
    <x v="5"/>
    <n v="49492"/>
    <x v="0"/>
    <s v="Normal"/>
  </r>
  <r>
    <x v="121"/>
    <x v="0"/>
    <d v="2025-02-19T00:00:00"/>
    <x v="1"/>
    <d v="2025-02-22T00:00:00"/>
    <n v="3"/>
    <x v="3"/>
    <s v="Dislocation"/>
    <x v="0"/>
    <n v="29087"/>
    <x v="0"/>
    <s v="Normal"/>
  </r>
  <r>
    <x v="122"/>
    <x v="1"/>
    <d v="2025-03-04T00:00:00"/>
    <x v="2"/>
    <d v="2025-03-08T00:00:00"/>
    <n v="4"/>
    <x v="0"/>
    <s v="Migraine"/>
    <x v="7"/>
    <n v="56834"/>
    <x v="0"/>
    <s v="Expensive"/>
  </r>
  <r>
    <x v="123"/>
    <x v="3"/>
    <d v="2025-03-24T00:00:00"/>
    <x v="2"/>
    <m/>
    <m/>
    <x v="1"/>
    <s v="Lymphoma"/>
    <x v="11"/>
    <n v="23178"/>
    <x v="0"/>
    <s v="Normal"/>
  </r>
  <r>
    <x v="124"/>
    <x v="4"/>
    <d v="2025-02-01T00:00:00"/>
    <x v="1"/>
    <d v="2025-02-06T00:00:00"/>
    <n v="5"/>
    <x v="0"/>
    <s v="Normal Delivery"/>
    <x v="4"/>
    <n v="47042"/>
    <x v="0"/>
    <s v="Normal"/>
  </r>
  <r>
    <x v="125"/>
    <x v="1"/>
    <d v="2025-02-23T00:00:00"/>
    <x v="1"/>
    <d v="2025-02-26T00:00:00"/>
    <n v="3"/>
    <x v="3"/>
    <s v="Diabetes"/>
    <x v="1"/>
    <n v="66285"/>
    <x v="0"/>
    <s v="Expensive"/>
  </r>
  <r>
    <x v="126"/>
    <x v="5"/>
    <d v="2025-01-29T00:00:00"/>
    <x v="0"/>
    <d v="2025-01-30T00:00:00"/>
    <n v="1"/>
    <x v="3"/>
    <s v="Fracture Repair"/>
    <x v="6"/>
    <n v="28114"/>
    <x v="0"/>
    <s v="Normal"/>
  </r>
  <r>
    <x v="127"/>
    <x v="3"/>
    <d v="2025-02-25T00:00:00"/>
    <x v="1"/>
    <d v="2025-03-04T00:00:00"/>
    <n v="7"/>
    <x v="0"/>
    <s v="Prostate Cancer"/>
    <x v="3"/>
    <n v="33204"/>
    <x v="0"/>
    <s v="Normal"/>
  </r>
  <r>
    <x v="128"/>
    <x v="3"/>
    <d v="2025-01-15T00:00:00"/>
    <x v="0"/>
    <d v="2025-01-25T00:00:00"/>
    <n v="10"/>
    <x v="2"/>
    <s v="Breast Cancer"/>
    <x v="3"/>
    <n v="41196"/>
    <x v="2"/>
    <s v="Normal"/>
  </r>
  <r>
    <x v="129"/>
    <x v="3"/>
    <d v="2025-02-10T00:00:00"/>
    <x v="1"/>
    <d v="2025-02-19T00:00:00"/>
    <n v="9"/>
    <x v="2"/>
    <s v="Lymphoma"/>
    <x v="11"/>
    <n v="33958"/>
    <x v="0"/>
    <s v="Normal"/>
  </r>
  <r>
    <x v="130"/>
    <x v="6"/>
    <d v="2025-01-06T00:00:00"/>
    <x v="0"/>
    <d v="2025-01-13T00:00:00"/>
    <n v="7"/>
    <x v="0"/>
    <s v="Arrhythmia"/>
    <x v="13"/>
    <n v="21392"/>
    <x v="0"/>
    <s v="Normal"/>
  </r>
  <r>
    <x v="131"/>
    <x v="3"/>
    <d v="2025-01-04T00:00:00"/>
    <x v="0"/>
    <d v="2025-01-17T00:00:00"/>
    <n v="13"/>
    <x v="2"/>
    <s v="Breast Cancer"/>
    <x v="3"/>
    <n v="40823"/>
    <x v="1"/>
    <s v="Normal"/>
  </r>
  <r>
    <x v="132"/>
    <x v="0"/>
    <d v="2025-01-29T00:00:00"/>
    <x v="0"/>
    <d v="2025-02-11T00:00:00"/>
    <n v="13"/>
    <x v="2"/>
    <s v="Dislocation"/>
    <x v="0"/>
    <n v="27252"/>
    <x v="0"/>
    <s v="Normal"/>
  </r>
  <r>
    <x v="133"/>
    <x v="0"/>
    <d v="2025-01-10T00:00:00"/>
    <x v="0"/>
    <d v="2025-01-20T00:00:00"/>
    <n v="10"/>
    <x v="2"/>
    <s v="Arthritis"/>
    <x v="5"/>
    <n v="45683"/>
    <x v="1"/>
    <s v="Normal"/>
  </r>
  <r>
    <x v="134"/>
    <x v="1"/>
    <d v="2025-03-30T00:00:00"/>
    <x v="2"/>
    <d v="2025-04-03T00:00:00"/>
    <n v="4"/>
    <x v="0"/>
    <s v="Gastroenteritis"/>
    <x v="7"/>
    <n v="28967"/>
    <x v="0"/>
    <s v="Normal"/>
  </r>
  <r>
    <x v="135"/>
    <x v="6"/>
    <d v="2025-01-08T00:00:00"/>
    <x v="0"/>
    <d v="2025-01-10T00:00:00"/>
    <n v="2"/>
    <x v="3"/>
    <s v="Arrhythmia"/>
    <x v="13"/>
    <n v="58599"/>
    <x v="0"/>
    <s v="Expensive"/>
  </r>
  <r>
    <x v="136"/>
    <x v="3"/>
    <d v="2025-01-03T00:00:00"/>
    <x v="0"/>
    <d v="2025-01-04T00:00:00"/>
    <n v="1"/>
    <x v="3"/>
    <s v="Lymphoma"/>
    <x v="3"/>
    <n v="30601"/>
    <x v="0"/>
    <s v="Normal"/>
  </r>
  <r>
    <x v="137"/>
    <x v="1"/>
    <d v="2025-03-01T00:00:00"/>
    <x v="2"/>
    <d v="2025-03-06T00:00:00"/>
    <n v="5"/>
    <x v="0"/>
    <s v="Flu"/>
    <x v="1"/>
    <n v="36135"/>
    <x v="0"/>
    <s v="Normal"/>
  </r>
  <r>
    <x v="138"/>
    <x v="0"/>
    <d v="2025-02-22T00:00:00"/>
    <x v="1"/>
    <d v="2025-03-03T00:00:00"/>
    <n v="9"/>
    <x v="2"/>
    <s v="Fracture"/>
    <x v="5"/>
    <n v="49762"/>
    <x v="0"/>
    <s v="Normal"/>
  </r>
  <r>
    <x v="139"/>
    <x v="1"/>
    <d v="2025-03-09T00:00:00"/>
    <x v="2"/>
    <m/>
    <m/>
    <x v="1"/>
    <s v="Gastroenteritis"/>
    <x v="1"/>
    <n v="25230"/>
    <x v="0"/>
    <s v="Normal"/>
  </r>
  <r>
    <x v="140"/>
    <x v="1"/>
    <d v="2025-01-24T00:00:00"/>
    <x v="0"/>
    <m/>
    <m/>
    <x v="1"/>
    <s v="Gastroenteritis"/>
    <x v="1"/>
    <n v="42730"/>
    <x v="0"/>
    <s v="Normal"/>
  </r>
  <r>
    <x v="141"/>
    <x v="3"/>
    <d v="2025-01-21T00:00:00"/>
    <x v="0"/>
    <d v="2025-01-22T00:00:00"/>
    <n v="1"/>
    <x v="3"/>
    <s v="Leukemia"/>
    <x v="11"/>
    <n v="55686"/>
    <x v="0"/>
    <s v="Expensive"/>
  </r>
  <r>
    <x v="142"/>
    <x v="4"/>
    <d v="2025-03-11T00:00:00"/>
    <x v="2"/>
    <d v="2025-03-24T00:00:00"/>
    <n v="13"/>
    <x v="2"/>
    <s v="Preeclampsia"/>
    <x v="4"/>
    <n v="20710"/>
    <x v="0"/>
    <s v="Normal"/>
  </r>
  <r>
    <x v="143"/>
    <x v="5"/>
    <d v="2025-01-07T00:00:00"/>
    <x v="0"/>
    <d v="2025-01-16T00:00:00"/>
    <n v="9"/>
    <x v="2"/>
    <s v="Hernia"/>
    <x v="6"/>
    <n v="42216"/>
    <x v="0"/>
    <s v="Normal"/>
  </r>
  <r>
    <x v="144"/>
    <x v="5"/>
    <d v="2025-02-12T00:00:00"/>
    <x v="1"/>
    <d v="2025-02-25T00:00:00"/>
    <n v="13"/>
    <x v="2"/>
    <s v="Hernia"/>
    <x v="12"/>
    <n v="43119"/>
    <x v="1"/>
    <s v="Normal"/>
  </r>
  <r>
    <x v="145"/>
    <x v="2"/>
    <d v="2025-02-21T00:00:00"/>
    <x v="1"/>
    <d v="2025-03-06T00:00:00"/>
    <n v="13"/>
    <x v="2"/>
    <s v="Pneumonia"/>
    <x v="2"/>
    <n v="49382"/>
    <x v="0"/>
    <s v="Normal"/>
  </r>
  <r>
    <x v="146"/>
    <x v="1"/>
    <d v="2025-02-14T00:00:00"/>
    <x v="1"/>
    <d v="2025-02-28T00:00:00"/>
    <n v="14"/>
    <x v="2"/>
    <s v="Gastroenteritis"/>
    <x v="7"/>
    <n v="25157"/>
    <x v="0"/>
    <s v="Normal"/>
  </r>
  <r>
    <x v="147"/>
    <x v="0"/>
    <d v="2025-02-08T00:00:00"/>
    <x v="1"/>
    <d v="2025-02-12T00:00:00"/>
    <n v="4"/>
    <x v="0"/>
    <s v="Fracture"/>
    <x v="0"/>
    <n v="24155"/>
    <x v="1"/>
    <s v="Normal"/>
  </r>
  <r>
    <x v="148"/>
    <x v="5"/>
    <d v="2025-03-25T00:00:00"/>
    <x v="2"/>
    <d v="2025-03-26T00:00:00"/>
    <n v="1"/>
    <x v="3"/>
    <s v="Fracture Repair"/>
    <x v="6"/>
    <n v="46263"/>
    <x v="0"/>
    <s v="Normal"/>
  </r>
  <r>
    <x v="149"/>
    <x v="2"/>
    <d v="2025-02-03T00:00:00"/>
    <x v="1"/>
    <d v="2025-02-09T00:00:00"/>
    <n v="6"/>
    <x v="0"/>
    <s v="Bronchitis"/>
    <x v="2"/>
    <n v="43564"/>
    <x v="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E6494C-5824-446B-99E8-882299DF9F7B}"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atient Outcome">
  <location ref="P3:Q7" firstHeaderRow="1" firstDataRow="1" firstDataCol="1"/>
  <pivotFields count="12">
    <pivotField dataField="1" showAll="0"/>
    <pivotField showAll="0">
      <items count="8">
        <item x="6"/>
        <item x="1"/>
        <item x="4"/>
        <item x="3"/>
        <item x="0"/>
        <item x="2"/>
        <item x="5"/>
        <item t="default"/>
      </items>
    </pivotField>
    <pivotField numFmtId="22" showAll="0"/>
    <pivotField showAll="0">
      <items count="5">
        <item x="0"/>
        <item x="1"/>
        <item x="2"/>
        <item x="3"/>
        <item t="default"/>
      </items>
    </pivotField>
    <pivotField showAll="0"/>
    <pivotField showAll="0"/>
    <pivotField showAll="0"/>
    <pivotField showAll="0"/>
    <pivotField showAll="0">
      <items count="15">
        <item x="10"/>
        <item x="4"/>
        <item x="7"/>
        <item x="6"/>
        <item x="2"/>
        <item x="0"/>
        <item x="13"/>
        <item x="1"/>
        <item x="9"/>
        <item x="8"/>
        <item x="12"/>
        <item x="3"/>
        <item x="5"/>
        <item x="11"/>
        <item t="default"/>
      </items>
    </pivotField>
    <pivotField showAll="0"/>
    <pivotField axis="axisRow" showAll="0">
      <items count="4">
        <item x="2"/>
        <item x="0"/>
        <item x="1"/>
        <item t="default"/>
      </items>
    </pivotField>
    <pivotField showAll="0"/>
  </pivotFields>
  <rowFields count="1">
    <field x="10"/>
  </rowFields>
  <rowItems count="4">
    <i>
      <x/>
    </i>
    <i>
      <x v="1"/>
    </i>
    <i>
      <x v="2"/>
    </i>
    <i t="grand">
      <x/>
    </i>
  </rowItems>
  <colItems count="1">
    <i/>
  </colItems>
  <dataFields count="1">
    <dataField name="Number of Patients" fld="0" subtotal="count" showDataAs="percentOfTotal" baseField="10" baseItem="0" numFmtId="9"/>
  </dataFields>
  <formats count="3">
    <format dxfId="7">
      <pivotArea outline="0" fieldPosition="0">
        <references count="1">
          <reference field="4294967294" count="1">
            <x v="0"/>
          </reference>
        </references>
      </pivotArea>
    </format>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D610D-1016-4989-94EB-4A0F1DF07D9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y Category">
  <location ref="J3:K8" firstHeaderRow="1" firstDataRow="1" firstDataCol="1"/>
  <pivotFields count="12">
    <pivotField dataField="1" showAll="0"/>
    <pivotField showAll="0">
      <items count="8">
        <item x="6"/>
        <item x="1"/>
        <item x="4"/>
        <item x="3"/>
        <item x="0"/>
        <item x="2"/>
        <item x="5"/>
        <item t="default"/>
      </items>
    </pivotField>
    <pivotField numFmtId="22" showAll="0"/>
    <pivotField showAll="0">
      <items count="5">
        <item x="0"/>
        <item x="1"/>
        <item x="2"/>
        <item x="3"/>
        <item t="default"/>
      </items>
    </pivotField>
    <pivotField showAll="0"/>
    <pivotField showAll="0"/>
    <pivotField axis="axisRow" showAll="0">
      <items count="5">
        <item x="2"/>
        <item x="0"/>
        <item x="3"/>
        <item x="1"/>
        <item t="default"/>
      </items>
    </pivotField>
    <pivotField showAll="0"/>
    <pivotField showAll="0">
      <items count="15">
        <item x="10"/>
        <item x="4"/>
        <item x="7"/>
        <item x="6"/>
        <item x="2"/>
        <item x="0"/>
        <item x="13"/>
        <item x="1"/>
        <item x="9"/>
        <item x="8"/>
        <item x="12"/>
        <item x="3"/>
        <item x="5"/>
        <item x="11"/>
        <item t="default"/>
      </items>
    </pivotField>
    <pivotField showAll="0"/>
    <pivotField showAll="0">
      <items count="4">
        <item x="2"/>
        <item x="0"/>
        <item x="1"/>
        <item t="default"/>
      </items>
    </pivotField>
    <pivotField showAll="0"/>
  </pivotFields>
  <rowFields count="1">
    <field x="6"/>
  </rowFields>
  <rowItems count="5">
    <i>
      <x/>
    </i>
    <i>
      <x v="1"/>
    </i>
    <i>
      <x v="2"/>
    </i>
    <i>
      <x v="3"/>
    </i>
    <i t="grand">
      <x/>
    </i>
  </rowItems>
  <colItems count="1">
    <i/>
  </colItems>
  <dataFields count="1">
    <dataField name="Number of Patients" fld="0" subtotal="count" showDataAs="percentOfTotal" baseField="6" baseItem="0" numFmtId="9"/>
  </dataFields>
  <formats count="2">
    <format dxfId="9">
      <pivotArea outline="0" fieldPosition="0">
        <references count="1">
          <reference field="4294967294" count="1">
            <x v="0"/>
          </reference>
        </references>
      </pivotArea>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AA46C6-12EF-462C-95F2-CA017E65719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F3:G11" firstHeaderRow="1" firstDataRow="1" firstDataCol="1"/>
  <pivotFields count="12">
    <pivotField showAll="0"/>
    <pivotField axis="axisRow" showAll="0">
      <items count="8">
        <item x="6"/>
        <item x="1"/>
        <item x="4"/>
        <item x="3"/>
        <item x="0"/>
        <item x="2"/>
        <item x="5"/>
        <item t="default"/>
      </items>
    </pivotField>
    <pivotField numFmtId="22" showAll="0"/>
    <pivotField showAll="0">
      <items count="5">
        <item x="0"/>
        <item x="1"/>
        <item x="2"/>
        <item x="3"/>
        <item t="default"/>
      </items>
    </pivotField>
    <pivotField showAll="0"/>
    <pivotField showAll="0"/>
    <pivotField showAll="0"/>
    <pivotField showAll="0"/>
    <pivotField showAll="0">
      <items count="15">
        <item x="10"/>
        <item x="4"/>
        <item x="7"/>
        <item x="6"/>
        <item x="2"/>
        <item x="0"/>
        <item x="13"/>
        <item x="1"/>
        <item x="9"/>
        <item x="8"/>
        <item x="12"/>
        <item x="3"/>
        <item x="5"/>
        <item x="11"/>
        <item t="default"/>
      </items>
    </pivotField>
    <pivotField dataField="1" showAll="0"/>
    <pivotField showAll="0">
      <items count="4">
        <item x="2"/>
        <item x="0"/>
        <item x="1"/>
        <item t="default"/>
      </items>
    </pivotField>
    <pivotField showAll="0"/>
  </pivotFields>
  <rowFields count="1">
    <field x="1"/>
  </rowFields>
  <rowItems count="8">
    <i>
      <x/>
    </i>
    <i>
      <x v="1"/>
    </i>
    <i>
      <x v="2"/>
    </i>
    <i>
      <x v="3"/>
    </i>
    <i>
      <x v="4"/>
    </i>
    <i>
      <x v="5"/>
    </i>
    <i>
      <x v="6"/>
    </i>
    <i t="grand">
      <x/>
    </i>
  </rowItems>
  <colItems count="1">
    <i/>
  </colItems>
  <dataFields count="1">
    <dataField name="Average of Treatment Cost" fld="9"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BFDAA1-8D37-4FB6-968D-B6C142B2BB7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Department">
  <location ref="A3:B11" firstHeaderRow="1" firstDataRow="1" firstDataCol="1"/>
  <pivotFields count="12">
    <pivotField dataField="1" showAll="0"/>
    <pivotField axis="axisRow" showAll="0">
      <items count="8">
        <item x="6"/>
        <item x="1"/>
        <item x="4"/>
        <item x="3"/>
        <item x="0"/>
        <item x="2"/>
        <item x="5"/>
        <item t="default"/>
      </items>
    </pivotField>
    <pivotField numFmtId="22" showAll="0"/>
    <pivotField showAll="0">
      <items count="5">
        <item x="0"/>
        <item x="1"/>
        <item x="2"/>
        <item x="3"/>
        <item t="default"/>
      </items>
    </pivotField>
    <pivotField showAll="0"/>
    <pivotField showAll="0"/>
    <pivotField showAll="0"/>
    <pivotField showAll="0"/>
    <pivotField showAll="0">
      <items count="15">
        <item x="10"/>
        <item x="4"/>
        <item x="7"/>
        <item x="6"/>
        <item x="2"/>
        <item x="0"/>
        <item x="13"/>
        <item x="1"/>
        <item x="9"/>
        <item x="8"/>
        <item x="12"/>
        <item x="3"/>
        <item x="5"/>
        <item x="11"/>
        <item t="default"/>
      </items>
    </pivotField>
    <pivotField showAll="0"/>
    <pivotField showAll="0">
      <items count="4">
        <item x="2"/>
        <item x="0"/>
        <item x="1"/>
        <item t="default"/>
      </items>
    </pivotField>
    <pivotField showAll="0"/>
  </pivotFields>
  <rowFields count="1">
    <field x="1"/>
  </rowFields>
  <rowItems count="8">
    <i>
      <x/>
    </i>
    <i>
      <x v="1"/>
    </i>
    <i>
      <x v="2"/>
    </i>
    <i>
      <x v="3"/>
    </i>
    <i>
      <x v="4"/>
    </i>
    <i>
      <x v="5"/>
    </i>
    <i>
      <x v="6"/>
    </i>
    <i t="grand">
      <x/>
    </i>
  </rowItems>
  <colItems count="1">
    <i/>
  </colItems>
  <dataFields count="1">
    <dataField name="Number of Patients" fld="0"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3384B8-E294-4BFC-9A25-167B0CA8551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Stay Category">
  <location ref="J11:O20" firstHeaderRow="1" firstDataRow="2" firstDataCol="1"/>
  <pivotFields count="12">
    <pivotField dataField="1" showAll="0"/>
    <pivotField axis="axisRow" showAll="0">
      <items count="8">
        <item x="6"/>
        <item x="1"/>
        <item x="4"/>
        <item x="3"/>
        <item x="0"/>
        <item x="2"/>
        <item x="5"/>
        <item t="default"/>
      </items>
    </pivotField>
    <pivotField numFmtId="22" showAll="0"/>
    <pivotField showAll="0">
      <items count="5">
        <item x="0"/>
        <item x="1"/>
        <item x="2"/>
        <item x="3"/>
        <item t="default"/>
      </items>
    </pivotField>
    <pivotField showAll="0"/>
    <pivotField showAll="0"/>
    <pivotField axis="axisCol" showAll="0">
      <items count="5">
        <item x="2"/>
        <item x="0"/>
        <item x="3"/>
        <item x="1"/>
        <item t="default"/>
      </items>
    </pivotField>
    <pivotField showAll="0"/>
    <pivotField showAll="0">
      <items count="15">
        <item x="10"/>
        <item x="4"/>
        <item x="7"/>
        <item x="6"/>
        <item x="2"/>
        <item x="0"/>
        <item x="13"/>
        <item x="1"/>
        <item x="9"/>
        <item x="8"/>
        <item x="12"/>
        <item x="3"/>
        <item x="5"/>
        <item x="11"/>
        <item t="default"/>
      </items>
    </pivotField>
    <pivotField showAll="0"/>
    <pivotField showAll="0">
      <items count="4">
        <item x="2"/>
        <item x="0"/>
        <item x="1"/>
        <item t="default"/>
      </items>
    </pivotField>
    <pivotField showAll="0"/>
  </pivotFields>
  <rowFields count="1">
    <field x="1"/>
  </rowFields>
  <rowItems count="8">
    <i>
      <x/>
    </i>
    <i>
      <x v="1"/>
    </i>
    <i>
      <x v="2"/>
    </i>
    <i>
      <x v="3"/>
    </i>
    <i>
      <x v="4"/>
    </i>
    <i>
      <x v="5"/>
    </i>
    <i>
      <x v="6"/>
    </i>
    <i t="grand">
      <x/>
    </i>
  </rowItems>
  <colFields count="1">
    <field x="6"/>
  </colFields>
  <colItems count="5">
    <i>
      <x/>
    </i>
    <i>
      <x v="1"/>
    </i>
    <i>
      <x v="2"/>
    </i>
    <i>
      <x v="3"/>
    </i>
    <i t="grand">
      <x/>
    </i>
  </colItems>
  <dataFields count="1">
    <dataField name="Count of  ID" fld="0" subtotal="count" showDataAs="percentOfTotal" baseField="0" baseItem="0" numFmtId="10"/>
  </dataFields>
  <formats count="2">
    <format dxfId="11">
      <pivotArea outline="0" collapsedLevelsAreSubtotals="1"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991061-C6CB-4453-AEF1-5380B708A01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
  <location ref="A15:A16" firstHeaderRow="1" firstDataRow="1" firstDataCol="0"/>
  <pivotFields count="12">
    <pivotField dataField="1" showAll="0"/>
    <pivotField showAll="0">
      <items count="8">
        <item x="6"/>
        <item x="1"/>
        <item x="4"/>
        <item x="3"/>
        <item x="0"/>
        <item x="2"/>
        <item x="5"/>
        <item t="default"/>
      </items>
    </pivotField>
    <pivotField numFmtId="22" showAll="0"/>
    <pivotField showAll="0">
      <items count="5">
        <item x="0"/>
        <item x="1"/>
        <item x="2"/>
        <item x="3"/>
        <item t="default"/>
      </items>
    </pivotField>
    <pivotField showAll="0"/>
    <pivotField showAll="0"/>
    <pivotField showAll="0"/>
    <pivotField showAll="0"/>
    <pivotField showAll="0">
      <items count="15">
        <item x="10"/>
        <item x="4"/>
        <item x="7"/>
        <item x="6"/>
        <item x="2"/>
        <item x="0"/>
        <item x="13"/>
        <item x="1"/>
        <item x="9"/>
        <item x="8"/>
        <item x="12"/>
        <item x="3"/>
        <item x="5"/>
        <item x="11"/>
        <item t="default"/>
      </items>
    </pivotField>
    <pivotField showAll="0"/>
    <pivotField showAll="0">
      <items count="4">
        <item x="2"/>
        <item x="0"/>
        <item x="1"/>
        <item t="default"/>
      </items>
    </pivotField>
    <pivotField showAll="0"/>
  </pivotFields>
  <rowItems count="1">
    <i/>
  </rowItems>
  <colItems count="1">
    <i/>
  </colItems>
  <dataFields count="1">
    <dataField name="Number Of Patients"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2C0125-1929-496D-A81F-651592165048}"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O7:P12"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numFmtId="14" showAll="0"/>
    <pivotField axis="axisRow" showAll="0">
      <items count="5">
        <item x="0"/>
        <item x="1"/>
        <item x="2"/>
        <item x="3"/>
        <item t="default"/>
      </items>
    </pivotField>
    <pivotField showAll="0"/>
    <pivotField showAll="0"/>
    <pivotField showAll="0"/>
    <pivotField showAll="0"/>
    <pivotField showAll="0"/>
    <pivotField numFmtId="165" showAll="0"/>
    <pivotField showAll="0"/>
    <pivotField showAll="0"/>
  </pivotFields>
  <rowFields count="1">
    <field x="3"/>
  </rowFields>
  <rowItems count="5">
    <i>
      <x/>
    </i>
    <i>
      <x v="1"/>
    </i>
    <i>
      <x v="2"/>
    </i>
    <i>
      <x v="3"/>
    </i>
    <i t="grand">
      <x/>
    </i>
  </rowItems>
  <colItems count="1">
    <i/>
  </colItems>
  <dataFields count="1">
    <dataField name="Count of Pati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516CFA-74FD-4CA4-B73E-5874205B797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D29:E33" firstHeaderRow="1" firstDataRow="1" firstDataCol="1"/>
  <pivotFields count="12">
    <pivotField dataField="1" showAll="0"/>
    <pivotField showAll="0">
      <items count="8">
        <item x="6"/>
        <item x="1"/>
        <item x="4"/>
        <item x="3"/>
        <item x="0"/>
        <item x="2"/>
        <item x="5"/>
        <item t="default"/>
      </items>
    </pivotField>
    <pivotField numFmtId="14" showAll="0"/>
    <pivotField showAll="0">
      <items count="5">
        <item x="0"/>
        <item x="1"/>
        <item x="2"/>
        <item x="3"/>
        <item t="default"/>
      </items>
    </pivotField>
    <pivotField showAll="0"/>
    <pivotField showAll="0"/>
    <pivotField showAll="0"/>
    <pivotField showAll="0"/>
    <pivotField showAll="0">
      <items count="15">
        <item x="10"/>
        <item x="4"/>
        <item x="7"/>
        <item x="6"/>
        <item x="2"/>
        <item x="0"/>
        <item x="13"/>
        <item x="1"/>
        <item x="9"/>
        <item x="8"/>
        <item x="12"/>
        <item x="3"/>
        <item x="5"/>
        <item x="11"/>
        <item t="default"/>
      </items>
    </pivotField>
    <pivotField numFmtId="166" showAll="0"/>
    <pivotField axis="axisRow" showAll="0">
      <items count="4">
        <item x="2"/>
        <item x="0"/>
        <item x="1"/>
        <item t="default"/>
      </items>
    </pivotField>
    <pivotField showAll="0"/>
  </pivotFields>
  <rowFields count="1">
    <field x="10"/>
  </rowFields>
  <rowItems count="4">
    <i>
      <x/>
    </i>
    <i>
      <x v="1"/>
    </i>
    <i>
      <x v="2"/>
    </i>
    <i t="grand">
      <x/>
    </i>
  </rowItems>
  <colItems count="1">
    <i/>
  </colItems>
  <dataFields count="1">
    <dataField name="Count of Patient ID" fld="0" subtotal="count" showDataAs="percentOfTotal" baseField="0" baseItem="0" numFmtId="10"/>
  </dataFields>
  <formats count="3">
    <format dxfId="2">
      <pivotArea outline="0" collapsedLevelsAreSubtotals="1"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B17B50-C8C7-4E80-AE22-097131B2E86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6:I21" firstHeaderRow="1" firstDataRow="1" firstDataCol="1"/>
  <pivotFields count="12">
    <pivotField showAll="0"/>
    <pivotField showAll="0">
      <items count="8">
        <item x="6"/>
        <item x="1"/>
        <item x="4"/>
        <item x="3"/>
        <item x="0"/>
        <item x="2"/>
        <item x="5"/>
        <item t="default"/>
      </items>
    </pivotField>
    <pivotField numFmtId="14" showAll="0"/>
    <pivotField showAll="0">
      <items count="5">
        <item x="0"/>
        <item x="1"/>
        <item x="2"/>
        <item x="3"/>
        <item t="default"/>
      </items>
    </pivotField>
    <pivotField showAll="0"/>
    <pivotField showAll="0"/>
    <pivotField showAll="0"/>
    <pivotField showAll="0"/>
    <pivotField axis="axisRow" showAll="0">
      <items count="15">
        <item x="10"/>
        <item x="4"/>
        <item x="7"/>
        <item x="6"/>
        <item x="2"/>
        <item x="0"/>
        <item x="13"/>
        <item x="1"/>
        <item x="9"/>
        <item x="8"/>
        <item x="12"/>
        <item x="3"/>
        <item x="5"/>
        <item x="11"/>
        <item t="default"/>
      </items>
    </pivotField>
    <pivotField dataField="1" showAll="0"/>
    <pivotField showAll="0">
      <items count="4">
        <item x="2"/>
        <item x="0"/>
        <item x="1"/>
        <item t="default"/>
      </items>
    </pivotField>
    <pivotField showAll="0"/>
  </pivotFields>
  <rowFields count="1">
    <field x="8"/>
  </rowFields>
  <rowItems count="15">
    <i>
      <x/>
    </i>
    <i>
      <x v="1"/>
    </i>
    <i>
      <x v="2"/>
    </i>
    <i>
      <x v="3"/>
    </i>
    <i>
      <x v="4"/>
    </i>
    <i>
      <x v="5"/>
    </i>
    <i>
      <x v="6"/>
    </i>
    <i>
      <x v="7"/>
    </i>
    <i>
      <x v="8"/>
    </i>
    <i>
      <x v="9"/>
    </i>
    <i>
      <x v="10"/>
    </i>
    <i>
      <x v="11"/>
    </i>
    <i>
      <x v="12"/>
    </i>
    <i>
      <x v="13"/>
    </i>
    <i t="grand">
      <x/>
    </i>
  </rowItems>
  <colItems count="1">
    <i/>
  </colItems>
  <dataFields count="1">
    <dataField name="Average of Treatment Cost" fld="9" subtotal="average" baseField="8" baseItem="0" numFmtId="166"/>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D3B458-111C-45F2-B946-3B09C8D85DB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6:B14" firstHeaderRow="1" firstDataRow="1" firstDataCol="1"/>
  <pivotFields count="12">
    <pivotField dataField="1" showAll="0"/>
    <pivotField axis="axisRow" showAll="0">
      <items count="8">
        <item x="6"/>
        <item x="1"/>
        <item x="4"/>
        <item x="3"/>
        <item x="0"/>
        <item x="2"/>
        <item x="5"/>
        <item t="default"/>
      </items>
    </pivotField>
    <pivotField numFmtId="22" showAll="0"/>
    <pivotField showAll="0">
      <items count="5">
        <item x="0"/>
        <item x="1"/>
        <item x="2"/>
        <item x="3"/>
        <item t="default"/>
      </items>
    </pivotField>
    <pivotField showAll="0"/>
    <pivotField showAll="0"/>
    <pivotField showAll="0"/>
    <pivotField showAll="0"/>
    <pivotField showAll="0">
      <items count="15">
        <item x="10"/>
        <item x="4"/>
        <item x="7"/>
        <item x="6"/>
        <item x="2"/>
        <item x="0"/>
        <item x="13"/>
        <item x="1"/>
        <item x="9"/>
        <item x="8"/>
        <item x="12"/>
        <item x="3"/>
        <item x="5"/>
        <item x="11"/>
        <item t="default"/>
      </items>
    </pivotField>
    <pivotField showAll="0"/>
    <pivotField showAll="0">
      <items count="4">
        <item x="2"/>
        <item x="0"/>
        <item x="1"/>
        <item t="default"/>
      </items>
    </pivotField>
    <pivotField showAll="0"/>
  </pivotFields>
  <rowFields count="1">
    <field x="1"/>
  </rowFields>
  <rowItems count="8">
    <i>
      <x/>
    </i>
    <i>
      <x v="1"/>
    </i>
    <i>
      <x v="2"/>
    </i>
    <i>
      <x v="3"/>
    </i>
    <i>
      <x v="4"/>
    </i>
    <i>
      <x v="5"/>
    </i>
    <i>
      <x v="6"/>
    </i>
    <i t="grand">
      <x/>
    </i>
  </rowItems>
  <colItems count="1">
    <i/>
  </colItems>
  <dataFields count="1">
    <dataField name="Admissions Count" fld="0" subtotal="count" showDataAs="percentOfTotal" baseField="1" baseItem="0" numFmtId="9"/>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AE63584-47F4-44E1-B14C-CF3E14C9472D}" sourceName="Department">
  <pivotTables>
    <pivotTable tabId="9" name="PivotTable7"/>
    <pivotTable tabId="9" name="PivotTable1"/>
    <pivotTable tabId="9" name="PivotTable3"/>
    <pivotTable tabId="4" name="PivotTable1"/>
    <pivotTable tabId="4" name="PivotTable2"/>
    <pivotTable tabId="4" name="PivotTable3"/>
    <pivotTable tabId="4" name="PivotTable4"/>
    <pivotTable tabId="4" name="PivotTable5"/>
    <pivotTable tabId="4" name="PivotTable6"/>
  </pivotTables>
  <data>
    <tabular pivotCacheId="1803775564">
      <items count="7">
        <i x="6" s="1"/>
        <i x="1" s="1"/>
        <i x="4" s="1"/>
        <i x="3" s="1"/>
        <i x="0"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Assigned" xr10:uid="{524FE4F8-4CA8-4FB3-A272-8E14B97F5D98}" sourceName="Doctor Assigned">
  <pivotTables>
    <pivotTable tabId="9" name="PivotTable7"/>
    <pivotTable tabId="9" name="PivotTable1"/>
    <pivotTable tabId="9" name="PivotTable3"/>
    <pivotTable tabId="4" name="PivotTable1"/>
    <pivotTable tabId="4" name="PivotTable2"/>
    <pivotTable tabId="4" name="PivotTable3"/>
    <pivotTable tabId="4" name="PivotTable4"/>
    <pivotTable tabId="4" name="PivotTable5"/>
    <pivotTable tabId="4" name="PivotTable6"/>
  </pivotTables>
  <data>
    <tabular pivotCacheId="1803775564">
      <items count="14">
        <i x="10" s="1"/>
        <i x="4" s="1"/>
        <i x="7" s="1"/>
        <i x="6" s="1"/>
        <i x="2" s="1"/>
        <i x="0" s="1"/>
        <i x="13" s="1"/>
        <i x="1" s="1"/>
        <i x="9" s="1"/>
        <i x="8" s="1"/>
        <i x="12" s="1"/>
        <i x="3" s="1"/>
        <i x="5"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1D2734A3-12CB-4B51-A3E7-5C40744CAB3C}" sourceName="Outcome">
  <pivotTables>
    <pivotTable tabId="9" name="PivotTable7"/>
    <pivotTable tabId="9" name="PivotTable1"/>
    <pivotTable tabId="9" name="PivotTable3"/>
    <pivotTable tabId="4" name="PivotTable1"/>
    <pivotTable tabId="4" name="PivotTable2"/>
    <pivotTable tabId="4" name="PivotTable3"/>
    <pivotTable tabId="4" name="PivotTable4"/>
    <pivotTable tabId="4" name="PivotTable5"/>
    <pivotTable tabId="4" name="PivotTable6"/>
  </pivotTables>
  <data>
    <tabular pivotCacheId="180377556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40F2E51-FFB4-4028-B91E-40644B9D50F1}" sourceName="Month Name">
  <pivotTables>
    <pivotTable tabId="9" name="PivotTable9"/>
    <pivotTable tabId="9" name="PivotTable1"/>
    <pivotTable tabId="9" name="PivotTable3"/>
    <pivotTable tabId="9" name="PivotTable7"/>
    <pivotTable tabId="4" name="PivotTable1"/>
    <pivotTable tabId="4" name="PivotTable2"/>
    <pivotTable tabId="4" name="PivotTable3"/>
    <pivotTable tabId="4" name="PivotTable4"/>
    <pivotTable tabId="4" name="PivotTable5"/>
    <pivotTable tabId="4" name="PivotTable6"/>
  </pivotTables>
  <data>
    <tabular pivotCacheId="180377556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785461F-2118-48FF-B74F-7EE5BA9237DE}" cache="Slicer_Department" caption="Department" rowHeight="241300"/>
  <slicer name="Doctor Assigned" xr10:uid="{012F9A42-129D-4B3B-AD26-AFB1BF2DFAB7}" cache="Slicer_Doctor_Assigned" caption="Doctor Assigned" rowHeight="241300"/>
  <slicer name="Outcome" xr10:uid="{D4994B20-5F67-4FAD-A6EE-9A71D6CF3B70}" cache="Slicer_Outcome" caption="Outcome" rowHeight="241300"/>
  <slicer name="Month Name" xr10:uid="{77F22257-5572-49AF-A903-38C496E786F7}" cache="Slicer_Month_Name" caption="Month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A8D821-4D24-46AB-9EE0-CC8FF3DDE857}" name="HospitalData" displayName="HospitalData" ref="A1:L151" totalsRowShown="0" headerRowDxfId="26" dataDxfId="25" tableBorderDxfId="24">
  <autoFilter ref="A1:L151" xr:uid="{93939A5E-E3A7-4941-B9AC-1485E197564A}"/>
  <tableColumns count="12">
    <tableColumn id="1" xr3:uid="{FB185F38-37E5-401B-94F2-5E5B168FC43D}" name="Patient ID" dataDxfId="23"/>
    <tableColumn id="2" xr3:uid="{73CD6A0F-1D1F-4142-9A51-F8DB82F2F71B}" name="Department" dataDxfId="22"/>
    <tableColumn id="3" xr3:uid="{ADB29AF3-ADA3-4D21-BD56-F87851B5B094}" name="Admission Date" dataDxfId="21"/>
    <tableColumn id="4" xr3:uid="{5DE61E42-EDED-45E1-BBE8-07B8A5729181}" name="Month Name" dataDxfId="20"/>
    <tableColumn id="5" xr3:uid="{16E353BC-C530-44E9-AF7D-913EBBF61621}" name="Discharge Date" dataDxfId="19"/>
    <tableColumn id="6" xr3:uid="{A1D0F543-F6EB-4ED5-BEE9-C793D1FD5739}" name="Lenght Of Stay" dataDxfId="18"/>
    <tableColumn id="7" xr3:uid="{097A4E3B-D623-4CA7-9F13-A6921445AAF2}" name="Stay Category" dataDxfId="17"/>
    <tableColumn id="8" xr3:uid="{304E5452-E52B-4929-9D27-C975CF25F3F5}" name="Diagnosis" dataDxfId="16"/>
    <tableColumn id="9" xr3:uid="{F33C32B0-E9BA-4D52-A3DC-34E4BF1F16BF}" name="Doctor Assigned" dataDxfId="15"/>
    <tableColumn id="10" xr3:uid="{5F3DBF65-FF5C-4DA3-AD68-C69DD2063F7A}" name="Treatment Cost" dataDxfId="14" dataCellStyle="Currency"/>
    <tableColumn id="11" xr3:uid="{52C61DE0-3FD5-45BE-926B-A94F0754A1D0}" name="Outcome" dataDxfId="13"/>
    <tableColumn id="12" xr3:uid="{1DFC9409-68CC-445F-9EBF-E2FAB623C18D}" name="Cost Flag" dataDxf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4248-092F-4AD5-84F6-1575858D594F}">
  <dimension ref="A1:L151"/>
  <sheetViews>
    <sheetView topLeftCell="A13" workbookViewId="0">
      <selection activeCell="D2" sqref="D2"/>
    </sheetView>
  </sheetViews>
  <sheetFormatPr defaultRowHeight="15" x14ac:dyDescent="0.25"/>
  <cols>
    <col min="1" max="1" width="12" bestFit="1" customWidth="1"/>
    <col min="2" max="2" width="16.85546875" bestFit="1" customWidth="1"/>
    <col min="3" max="3" width="17.28515625" style="22" bestFit="1" customWidth="1"/>
    <col min="4" max="4" width="15" bestFit="1" customWidth="1"/>
    <col min="5" max="5" width="16.5703125" style="22" bestFit="1" customWidth="1"/>
    <col min="6" max="6" width="16.140625" bestFit="1" customWidth="1"/>
    <col min="7" max="7" width="15.42578125" bestFit="1" customWidth="1"/>
    <col min="8" max="8" width="15.5703125" bestFit="1" customWidth="1"/>
    <col min="9" max="9" width="17.7109375" bestFit="1" customWidth="1"/>
    <col min="10" max="10" width="17" style="29" bestFit="1" customWidth="1"/>
    <col min="11" max="11" width="11.42578125" bestFit="1" customWidth="1"/>
    <col min="12" max="12" width="11.140625" customWidth="1"/>
  </cols>
  <sheetData>
    <row r="1" spans="1:12" x14ac:dyDescent="0.25">
      <c r="A1" s="3" t="s">
        <v>0</v>
      </c>
      <c r="B1" s="3" t="s">
        <v>1</v>
      </c>
      <c r="C1" s="19" t="s">
        <v>2</v>
      </c>
      <c r="D1" s="3" t="s">
        <v>214</v>
      </c>
      <c r="E1" s="19" t="s">
        <v>3</v>
      </c>
      <c r="F1" s="3" t="s">
        <v>210</v>
      </c>
      <c r="G1" s="3" t="s">
        <v>215</v>
      </c>
      <c r="H1" s="3" t="s">
        <v>4</v>
      </c>
      <c r="I1" s="3" t="s">
        <v>5</v>
      </c>
      <c r="J1" s="28" t="s">
        <v>6</v>
      </c>
      <c r="K1" s="3" t="s">
        <v>7</v>
      </c>
      <c r="L1" s="3" t="s">
        <v>211</v>
      </c>
    </row>
    <row r="2" spans="1:12" x14ac:dyDescent="0.25">
      <c r="A2" s="1" t="s">
        <v>8</v>
      </c>
      <c r="B2" s="1" t="s">
        <v>158</v>
      </c>
      <c r="C2" s="20">
        <v>45663</v>
      </c>
      <c r="D2" s="1" t="s">
        <v>216</v>
      </c>
      <c r="E2" s="20">
        <v>45667</v>
      </c>
      <c r="F2" s="1">
        <v>4</v>
      </c>
      <c r="G2" s="1" t="s">
        <v>217</v>
      </c>
      <c r="H2" s="1" t="s">
        <v>165</v>
      </c>
      <c r="I2" s="1" t="s">
        <v>193</v>
      </c>
      <c r="J2" s="30">
        <v>45961</v>
      </c>
      <c r="K2" s="1" t="s">
        <v>207</v>
      </c>
      <c r="L2" s="1" t="s">
        <v>212</v>
      </c>
    </row>
    <row r="3" spans="1:12" x14ac:dyDescent="0.25">
      <c r="A3" s="2" t="s">
        <v>9</v>
      </c>
      <c r="B3" s="2" t="s">
        <v>159</v>
      </c>
      <c r="C3" s="21">
        <v>45672</v>
      </c>
      <c r="D3" s="2" t="s">
        <v>216</v>
      </c>
      <c r="E3" s="21"/>
      <c r="F3" s="2"/>
      <c r="G3" s="2" t="s">
        <v>218</v>
      </c>
      <c r="H3" s="2" t="s">
        <v>166</v>
      </c>
      <c r="I3" s="2" t="s">
        <v>194</v>
      </c>
      <c r="J3" s="31">
        <v>38341</v>
      </c>
      <c r="K3" s="2" t="s">
        <v>207</v>
      </c>
      <c r="L3" s="2" t="s">
        <v>212</v>
      </c>
    </row>
    <row r="4" spans="1:12" x14ac:dyDescent="0.25">
      <c r="A4" s="1" t="s">
        <v>10</v>
      </c>
      <c r="B4" s="1" t="s">
        <v>160</v>
      </c>
      <c r="C4" s="20">
        <v>45704</v>
      </c>
      <c r="D4" s="1" t="s">
        <v>219</v>
      </c>
      <c r="E4" s="20">
        <v>45712</v>
      </c>
      <c r="F4" s="1">
        <v>8</v>
      </c>
      <c r="G4" s="1" t="s">
        <v>220</v>
      </c>
      <c r="H4" s="1" t="s">
        <v>167</v>
      </c>
      <c r="I4" s="1" t="s">
        <v>195</v>
      </c>
      <c r="J4" s="30">
        <v>47772</v>
      </c>
      <c r="K4" s="1" t="s">
        <v>207</v>
      </c>
      <c r="L4" s="1" t="s">
        <v>212</v>
      </c>
    </row>
    <row r="5" spans="1:12" x14ac:dyDescent="0.25">
      <c r="A5" s="2" t="s">
        <v>11</v>
      </c>
      <c r="B5" s="2" t="s">
        <v>161</v>
      </c>
      <c r="C5" s="21">
        <v>45735</v>
      </c>
      <c r="D5" s="2" t="s">
        <v>221</v>
      </c>
      <c r="E5" s="21">
        <v>45746</v>
      </c>
      <c r="F5" s="2">
        <v>11</v>
      </c>
      <c r="G5" s="2" t="s">
        <v>220</v>
      </c>
      <c r="H5" s="2" t="s">
        <v>168</v>
      </c>
      <c r="I5" s="2" t="s">
        <v>196</v>
      </c>
      <c r="J5" s="31">
        <v>58276</v>
      </c>
      <c r="K5" s="2" t="s">
        <v>207</v>
      </c>
      <c r="L5" s="2" t="s">
        <v>213</v>
      </c>
    </row>
    <row r="6" spans="1:12" x14ac:dyDescent="0.25">
      <c r="A6" s="1" t="s">
        <v>12</v>
      </c>
      <c r="B6" s="1" t="s">
        <v>161</v>
      </c>
      <c r="C6" s="20">
        <v>45742</v>
      </c>
      <c r="D6" s="1" t="s">
        <v>221</v>
      </c>
      <c r="E6" s="20">
        <v>45746</v>
      </c>
      <c r="F6" s="1">
        <v>4</v>
      </c>
      <c r="G6" s="1" t="s">
        <v>217</v>
      </c>
      <c r="H6" s="1" t="s">
        <v>169</v>
      </c>
      <c r="I6" s="1" t="s">
        <v>196</v>
      </c>
      <c r="J6" s="30">
        <v>37190</v>
      </c>
      <c r="K6" s="1" t="s">
        <v>207</v>
      </c>
      <c r="L6" s="1" t="s">
        <v>212</v>
      </c>
    </row>
    <row r="7" spans="1:12" x14ac:dyDescent="0.25">
      <c r="A7" s="2" t="s">
        <v>13</v>
      </c>
      <c r="B7" s="2" t="s">
        <v>160</v>
      </c>
      <c r="C7" s="21">
        <v>45712</v>
      </c>
      <c r="D7" s="2" t="s">
        <v>219</v>
      </c>
      <c r="E7" s="21">
        <v>45726</v>
      </c>
      <c r="F7" s="2">
        <v>14</v>
      </c>
      <c r="G7" s="2" t="s">
        <v>220</v>
      </c>
      <c r="H7" s="2" t="s">
        <v>170</v>
      </c>
      <c r="I7" s="2" t="s">
        <v>195</v>
      </c>
      <c r="J7" s="31">
        <v>11157</v>
      </c>
      <c r="K7" s="2" t="s">
        <v>207</v>
      </c>
      <c r="L7" s="2" t="s">
        <v>212</v>
      </c>
    </row>
    <row r="8" spans="1:12" x14ac:dyDescent="0.25">
      <c r="A8" s="1" t="s">
        <v>14</v>
      </c>
      <c r="B8" s="1" t="s">
        <v>162</v>
      </c>
      <c r="C8" s="20">
        <v>45658</v>
      </c>
      <c r="D8" s="1" t="s">
        <v>216</v>
      </c>
      <c r="E8" s="20">
        <v>45659</v>
      </c>
      <c r="F8" s="1">
        <v>1</v>
      </c>
      <c r="G8" s="1" t="s">
        <v>222</v>
      </c>
      <c r="H8" s="1" t="s">
        <v>171</v>
      </c>
      <c r="I8" s="1" t="s">
        <v>197</v>
      </c>
      <c r="J8" s="30">
        <v>58951</v>
      </c>
      <c r="K8" s="1" t="s">
        <v>207</v>
      </c>
      <c r="L8" s="1" t="s">
        <v>213</v>
      </c>
    </row>
    <row r="9" spans="1:12" x14ac:dyDescent="0.25">
      <c r="A9" s="2" t="s">
        <v>15</v>
      </c>
      <c r="B9" s="2" t="s">
        <v>158</v>
      </c>
      <c r="C9" s="21">
        <v>45731</v>
      </c>
      <c r="D9" s="2" t="s">
        <v>221</v>
      </c>
      <c r="E9" s="21">
        <v>45741</v>
      </c>
      <c r="F9" s="2">
        <v>10</v>
      </c>
      <c r="G9" s="2" t="s">
        <v>220</v>
      </c>
      <c r="H9" s="2" t="s">
        <v>165</v>
      </c>
      <c r="I9" s="2" t="s">
        <v>198</v>
      </c>
      <c r="J9" s="31">
        <v>49209</v>
      </c>
      <c r="K9" s="2" t="s">
        <v>207</v>
      </c>
      <c r="L9" s="2" t="s">
        <v>212</v>
      </c>
    </row>
    <row r="10" spans="1:12" x14ac:dyDescent="0.25">
      <c r="A10" s="1" t="s">
        <v>16</v>
      </c>
      <c r="B10" s="1" t="s">
        <v>161</v>
      </c>
      <c r="C10" s="20">
        <v>45740</v>
      </c>
      <c r="D10" s="1" t="s">
        <v>221</v>
      </c>
      <c r="E10" s="20">
        <v>45750</v>
      </c>
      <c r="F10" s="1">
        <v>10</v>
      </c>
      <c r="G10" s="1" t="s">
        <v>220</v>
      </c>
      <c r="H10" s="1" t="s">
        <v>169</v>
      </c>
      <c r="I10" s="1" t="s">
        <v>196</v>
      </c>
      <c r="J10" s="30">
        <v>34366</v>
      </c>
      <c r="K10" s="1" t="s">
        <v>207</v>
      </c>
      <c r="L10" s="1" t="s">
        <v>212</v>
      </c>
    </row>
    <row r="11" spans="1:12" x14ac:dyDescent="0.25">
      <c r="A11" s="2" t="s">
        <v>17</v>
      </c>
      <c r="B11" s="2" t="s">
        <v>163</v>
      </c>
      <c r="C11" s="21">
        <v>45745</v>
      </c>
      <c r="D11" s="2" t="s">
        <v>221</v>
      </c>
      <c r="E11" s="21">
        <v>45759</v>
      </c>
      <c r="F11" s="2">
        <v>14</v>
      </c>
      <c r="G11" s="2" t="s">
        <v>220</v>
      </c>
      <c r="H11" s="2" t="s">
        <v>172</v>
      </c>
      <c r="I11" s="2" t="s">
        <v>199</v>
      </c>
      <c r="J11" s="31">
        <v>46511</v>
      </c>
      <c r="K11" s="2" t="s">
        <v>207</v>
      </c>
      <c r="L11" s="2" t="s">
        <v>212</v>
      </c>
    </row>
    <row r="12" spans="1:12" x14ac:dyDescent="0.25">
      <c r="A12" s="1" t="s">
        <v>18</v>
      </c>
      <c r="B12" s="1" t="s">
        <v>159</v>
      </c>
      <c r="C12" s="20">
        <v>45678</v>
      </c>
      <c r="D12" s="1" t="s">
        <v>216</v>
      </c>
      <c r="E12" s="20">
        <v>45692</v>
      </c>
      <c r="F12" s="1">
        <v>14</v>
      </c>
      <c r="G12" s="1" t="s">
        <v>220</v>
      </c>
      <c r="H12" s="1" t="s">
        <v>173</v>
      </c>
      <c r="I12" s="1" t="s">
        <v>200</v>
      </c>
      <c r="J12" s="30">
        <v>34439</v>
      </c>
      <c r="K12" s="1" t="s">
        <v>207</v>
      </c>
      <c r="L12" s="1" t="s">
        <v>212</v>
      </c>
    </row>
    <row r="13" spans="1:12" x14ac:dyDescent="0.25">
      <c r="A13" s="2" t="s">
        <v>19</v>
      </c>
      <c r="B13" s="2" t="s">
        <v>158</v>
      </c>
      <c r="C13" s="21">
        <v>45665</v>
      </c>
      <c r="D13" s="2" t="s">
        <v>216</v>
      </c>
      <c r="E13" s="21">
        <v>45668</v>
      </c>
      <c r="F13" s="2">
        <v>3</v>
      </c>
      <c r="G13" s="2" t="s">
        <v>222</v>
      </c>
      <c r="H13" s="2" t="s">
        <v>174</v>
      </c>
      <c r="I13" s="2" t="s">
        <v>193</v>
      </c>
      <c r="J13" s="31">
        <v>34411</v>
      </c>
      <c r="K13" s="2" t="s">
        <v>207</v>
      </c>
      <c r="L13" s="2" t="s">
        <v>212</v>
      </c>
    </row>
    <row r="14" spans="1:12" x14ac:dyDescent="0.25">
      <c r="A14" s="1" t="s">
        <v>20</v>
      </c>
      <c r="B14" s="1" t="s">
        <v>161</v>
      </c>
      <c r="C14" s="20">
        <v>45715</v>
      </c>
      <c r="D14" s="1" t="s">
        <v>219</v>
      </c>
      <c r="E14" s="20">
        <v>45723</v>
      </c>
      <c r="F14" s="1">
        <v>8</v>
      </c>
      <c r="G14" s="1" t="s">
        <v>220</v>
      </c>
      <c r="H14" s="1" t="s">
        <v>175</v>
      </c>
      <c r="I14" s="1" t="s">
        <v>196</v>
      </c>
      <c r="J14" s="30">
        <v>42904</v>
      </c>
      <c r="K14" s="1" t="s">
        <v>207</v>
      </c>
      <c r="L14" s="1" t="s">
        <v>212</v>
      </c>
    </row>
    <row r="15" spans="1:12" x14ac:dyDescent="0.25">
      <c r="A15" s="2" t="s">
        <v>21</v>
      </c>
      <c r="B15" s="2" t="s">
        <v>164</v>
      </c>
      <c r="C15" s="21">
        <v>45707</v>
      </c>
      <c r="D15" s="2" t="s">
        <v>219</v>
      </c>
      <c r="E15" s="21">
        <v>45718</v>
      </c>
      <c r="F15" s="2">
        <v>11</v>
      </c>
      <c r="G15" s="2" t="s">
        <v>220</v>
      </c>
      <c r="H15" s="2" t="s">
        <v>176</v>
      </c>
      <c r="I15" s="2" t="s">
        <v>201</v>
      </c>
      <c r="J15" s="31">
        <v>17041</v>
      </c>
      <c r="K15" s="2" t="s">
        <v>208</v>
      </c>
      <c r="L15" s="2" t="s">
        <v>212</v>
      </c>
    </row>
    <row r="16" spans="1:12" x14ac:dyDescent="0.25">
      <c r="A16" s="1" t="s">
        <v>22</v>
      </c>
      <c r="B16" s="1" t="s">
        <v>162</v>
      </c>
      <c r="C16" s="20">
        <v>45669</v>
      </c>
      <c r="D16" s="1" t="s">
        <v>216</v>
      </c>
      <c r="E16" s="20">
        <v>45676</v>
      </c>
      <c r="F16" s="1">
        <v>7</v>
      </c>
      <c r="G16" s="1" t="s">
        <v>217</v>
      </c>
      <c r="H16" s="1" t="s">
        <v>171</v>
      </c>
      <c r="I16" s="1" t="s">
        <v>202</v>
      </c>
      <c r="J16" s="30">
        <v>19301</v>
      </c>
      <c r="K16" s="1" t="s">
        <v>208</v>
      </c>
      <c r="L16" s="1" t="s">
        <v>212</v>
      </c>
    </row>
    <row r="17" spans="1:12" x14ac:dyDescent="0.25">
      <c r="A17" s="2" t="s">
        <v>23</v>
      </c>
      <c r="B17" s="2" t="s">
        <v>161</v>
      </c>
      <c r="C17" s="21">
        <v>45660</v>
      </c>
      <c r="D17" s="2" t="s">
        <v>216</v>
      </c>
      <c r="E17" s="21">
        <v>45664</v>
      </c>
      <c r="F17" s="2">
        <v>4</v>
      </c>
      <c r="G17" s="2" t="s">
        <v>217</v>
      </c>
      <c r="H17" s="2" t="s">
        <v>168</v>
      </c>
      <c r="I17" s="2" t="s">
        <v>196</v>
      </c>
      <c r="J17" s="31">
        <v>33253</v>
      </c>
      <c r="K17" s="2" t="s">
        <v>207</v>
      </c>
      <c r="L17" s="2" t="s">
        <v>212</v>
      </c>
    </row>
    <row r="18" spans="1:12" x14ac:dyDescent="0.25">
      <c r="A18" s="1" t="s">
        <v>24</v>
      </c>
      <c r="B18" s="1" t="s">
        <v>163</v>
      </c>
      <c r="C18" s="20">
        <v>45697</v>
      </c>
      <c r="D18" s="1" t="s">
        <v>219</v>
      </c>
      <c r="E18" s="20">
        <v>45709</v>
      </c>
      <c r="F18" s="1">
        <v>12</v>
      </c>
      <c r="G18" s="1" t="s">
        <v>220</v>
      </c>
      <c r="H18" s="1" t="s">
        <v>177</v>
      </c>
      <c r="I18" s="1" t="s">
        <v>199</v>
      </c>
      <c r="J18" s="30">
        <v>27846</v>
      </c>
      <c r="K18" s="1" t="s">
        <v>207</v>
      </c>
      <c r="L18" s="1" t="s">
        <v>212</v>
      </c>
    </row>
    <row r="19" spans="1:12" x14ac:dyDescent="0.25">
      <c r="A19" s="2" t="s">
        <v>25</v>
      </c>
      <c r="B19" s="2" t="s">
        <v>160</v>
      </c>
      <c r="C19" s="21">
        <v>45686</v>
      </c>
      <c r="D19" s="2" t="s">
        <v>216</v>
      </c>
      <c r="E19" s="21">
        <v>45700</v>
      </c>
      <c r="F19" s="2">
        <v>14</v>
      </c>
      <c r="G19" s="2" t="s">
        <v>220</v>
      </c>
      <c r="H19" s="2" t="s">
        <v>178</v>
      </c>
      <c r="I19" s="2" t="s">
        <v>203</v>
      </c>
      <c r="J19" s="31">
        <v>43771</v>
      </c>
      <c r="K19" s="2" t="s">
        <v>207</v>
      </c>
      <c r="L19" s="2" t="s">
        <v>212</v>
      </c>
    </row>
    <row r="20" spans="1:12" x14ac:dyDescent="0.25">
      <c r="A20" s="1" t="s">
        <v>26</v>
      </c>
      <c r="B20" s="1" t="s">
        <v>161</v>
      </c>
      <c r="C20" s="20">
        <v>45685</v>
      </c>
      <c r="D20" s="1" t="s">
        <v>216</v>
      </c>
      <c r="E20" s="20">
        <v>45689</v>
      </c>
      <c r="F20" s="1">
        <v>4</v>
      </c>
      <c r="G20" s="1" t="s">
        <v>217</v>
      </c>
      <c r="H20" s="1" t="s">
        <v>175</v>
      </c>
      <c r="I20" s="1" t="s">
        <v>204</v>
      </c>
      <c r="J20" s="30">
        <v>29104</v>
      </c>
      <c r="K20" s="1" t="s">
        <v>207</v>
      </c>
      <c r="L20" s="1" t="s">
        <v>212</v>
      </c>
    </row>
    <row r="21" spans="1:12" x14ac:dyDescent="0.25">
      <c r="A21" s="2" t="s">
        <v>27</v>
      </c>
      <c r="B21" s="2" t="s">
        <v>158</v>
      </c>
      <c r="C21" s="21">
        <v>45675</v>
      </c>
      <c r="D21" s="2" t="s">
        <v>216</v>
      </c>
      <c r="E21" s="21">
        <v>45688</v>
      </c>
      <c r="F21" s="2">
        <v>13</v>
      </c>
      <c r="G21" s="2" t="s">
        <v>220</v>
      </c>
      <c r="H21" s="2" t="s">
        <v>174</v>
      </c>
      <c r="I21" s="2" t="s">
        <v>193</v>
      </c>
      <c r="J21" s="31">
        <v>23052</v>
      </c>
      <c r="K21" s="2" t="s">
        <v>207</v>
      </c>
      <c r="L21" s="2" t="s">
        <v>212</v>
      </c>
    </row>
    <row r="22" spans="1:12" x14ac:dyDescent="0.25">
      <c r="A22" s="1" t="s">
        <v>28</v>
      </c>
      <c r="B22" s="1" t="s">
        <v>161</v>
      </c>
      <c r="C22" s="20">
        <v>45692</v>
      </c>
      <c r="D22" s="1" t="s">
        <v>219</v>
      </c>
      <c r="E22" s="20">
        <v>45695</v>
      </c>
      <c r="F22" s="1">
        <v>3</v>
      </c>
      <c r="G22" s="1" t="s">
        <v>222</v>
      </c>
      <c r="H22" s="1" t="s">
        <v>168</v>
      </c>
      <c r="I22" s="1" t="s">
        <v>196</v>
      </c>
      <c r="J22" s="30">
        <v>57588</v>
      </c>
      <c r="K22" s="1" t="s">
        <v>207</v>
      </c>
      <c r="L22" s="1" t="s">
        <v>213</v>
      </c>
    </row>
    <row r="23" spans="1:12" x14ac:dyDescent="0.25">
      <c r="A23" s="2" t="s">
        <v>29</v>
      </c>
      <c r="B23" s="2" t="s">
        <v>159</v>
      </c>
      <c r="C23" s="21">
        <v>45693</v>
      </c>
      <c r="D23" s="2" t="s">
        <v>219</v>
      </c>
      <c r="E23" s="21">
        <v>45694</v>
      </c>
      <c r="F23" s="2">
        <v>1</v>
      </c>
      <c r="G23" s="2" t="s">
        <v>222</v>
      </c>
      <c r="H23" s="2" t="s">
        <v>166</v>
      </c>
      <c r="I23" s="2" t="s">
        <v>194</v>
      </c>
      <c r="J23" s="31">
        <v>37291</v>
      </c>
      <c r="K23" s="2" t="s">
        <v>208</v>
      </c>
      <c r="L23" s="2" t="s">
        <v>212</v>
      </c>
    </row>
    <row r="24" spans="1:12" x14ac:dyDescent="0.25">
      <c r="A24" s="1" t="s">
        <v>30</v>
      </c>
      <c r="B24" s="1" t="s">
        <v>159</v>
      </c>
      <c r="C24" s="20">
        <v>45719</v>
      </c>
      <c r="D24" s="1" t="s">
        <v>221</v>
      </c>
      <c r="E24" s="20">
        <v>45732</v>
      </c>
      <c r="F24" s="1">
        <v>13</v>
      </c>
      <c r="G24" s="1" t="s">
        <v>220</v>
      </c>
      <c r="H24" s="1" t="s">
        <v>179</v>
      </c>
      <c r="I24" s="1" t="s">
        <v>200</v>
      </c>
      <c r="J24" s="30">
        <v>40810</v>
      </c>
      <c r="K24" s="1" t="s">
        <v>208</v>
      </c>
      <c r="L24" s="1" t="s">
        <v>212</v>
      </c>
    </row>
    <row r="25" spans="1:12" x14ac:dyDescent="0.25">
      <c r="A25" s="2" t="s">
        <v>31</v>
      </c>
      <c r="B25" s="2" t="s">
        <v>164</v>
      </c>
      <c r="C25" s="21">
        <v>45723</v>
      </c>
      <c r="D25" s="2" t="s">
        <v>221</v>
      </c>
      <c r="E25" s="21">
        <v>45724</v>
      </c>
      <c r="F25" s="2">
        <v>1</v>
      </c>
      <c r="G25" s="2" t="s">
        <v>222</v>
      </c>
      <c r="H25" s="2" t="s">
        <v>180</v>
      </c>
      <c r="I25" s="2" t="s">
        <v>201</v>
      </c>
      <c r="J25" s="31">
        <v>22903</v>
      </c>
      <c r="K25" s="2" t="s">
        <v>207</v>
      </c>
      <c r="L25" s="2" t="s">
        <v>212</v>
      </c>
    </row>
    <row r="26" spans="1:12" x14ac:dyDescent="0.25">
      <c r="A26" s="1" t="s">
        <v>32</v>
      </c>
      <c r="B26" s="1" t="s">
        <v>163</v>
      </c>
      <c r="C26" s="20">
        <v>45663</v>
      </c>
      <c r="D26" s="1" t="s">
        <v>216</v>
      </c>
      <c r="E26" s="20">
        <v>45664</v>
      </c>
      <c r="F26" s="1">
        <v>1</v>
      </c>
      <c r="G26" s="1" t="s">
        <v>222</v>
      </c>
      <c r="H26" s="1" t="s">
        <v>172</v>
      </c>
      <c r="I26" s="1" t="s">
        <v>205</v>
      </c>
      <c r="J26" s="30">
        <v>33467</v>
      </c>
      <c r="K26" s="1" t="s">
        <v>208</v>
      </c>
      <c r="L26" s="1" t="s">
        <v>212</v>
      </c>
    </row>
    <row r="27" spans="1:12" x14ac:dyDescent="0.25">
      <c r="A27" s="2" t="s">
        <v>33</v>
      </c>
      <c r="B27" s="2" t="s">
        <v>161</v>
      </c>
      <c r="C27" s="21">
        <v>45687</v>
      </c>
      <c r="D27" s="2" t="s">
        <v>216</v>
      </c>
      <c r="E27" s="21">
        <v>45696</v>
      </c>
      <c r="F27" s="2">
        <v>9</v>
      </c>
      <c r="G27" s="2" t="s">
        <v>220</v>
      </c>
      <c r="H27" s="2" t="s">
        <v>175</v>
      </c>
      <c r="I27" s="2" t="s">
        <v>196</v>
      </c>
      <c r="J27" s="31">
        <v>41331</v>
      </c>
      <c r="K27" s="2" t="s">
        <v>207</v>
      </c>
      <c r="L27" s="2" t="s">
        <v>212</v>
      </c>
    </row>
    <row r="28" spans="1:12" x14ac:dyDescent="0.25">
      <c r="A28" s="1" t="s">
        <v>34</v>
      </c>
      <c r="B28" s="1" t="s">
        <v>162</v>
      </c>
      <c r="C28" s="20">
        <v>45748</v>
      </c>
      <c r="D28" s="1" t="s">
        <v>223</v>
      </c>
      <c r="E28" s="20">
        <v>45754</v>
      </c>
      <c r="F28" s="1">
        <v>6</v>
      </c>
      <c r="G28" s="1" t="s">
        <v>217</v>
      </c>
      <c r="H28" s="1" t="s">
        <v>181</v>
      </c>
      <c r="I28" s="1" t="s">
        <v>202</v>
      </c>
      <c r="J28" s="30">
        <v>26188</v>
      </c>
      <c r="K28" s="1" t="s">
        <v>207</v>
      </c>
      <c r="L28" s="1" t="s">
        <v>212</v>
      </c>
    </row>
    <row r="29" spans="1:12" x14ac:dyDescent="0.25">
      <c r="A29" s="2" t="s">
        <v>35</v>
      </c>
      <c r="B29" s="2" t="s">
        <v>161</v>
      </c>
      <c r="C29" s="21">
        <v>45685</v>
      </c>
      <c r="D29" s="2" t="s">
        <v>216</v>
      </c>
      <c r="E29" s="21">
        <v>45694</v>
      </c>
      <c r="F29" s="2">
        <v>9</v>
      </c>
      <c r="G29" s="2" t="s">
        <v>220</v>
      </c>
      <c r="H29" s="2" t="s">
        <v>175</v>
      </c>
      <c r="I29" s="2" t="s">
        <v>204</v>
      </c>
      <c r="J29" s="31">
        <v>44508</v>
      </c>
      <c r="K29" s="2" t="s">
        <v>207</v>
      </c>
      <c r="L29" s="2" t="s">
        <v>212</v>
      </c>
    </row>
    <row r="30" spans="1:12" x14ac:dyDescent="0.25">
      <c r="A30" s="1" t="s">
        <v>36</v>
      </c>
      <c r="B30" s="1" t="s">
        <v>158</v>
      </c>
      <c r="C30" s="20">
        <v>45715</v>
      </c>
      <c r="D30" s="1" t="s">
        <v>219</v>
      </c>
      <c r="E30" s="20">
        <v>45725</v>
      </c>
      <c r="F30" s="1">
        <v>10</v>
      </c>
      <c r="G30" s="1" t="s">
        <v>220</v>
      </c>
      <c r="H30" s="1" t="s">
        <v>165</v>
      </c>
      <c r="I30" s="1" t="s">
        <v>193</v>
      </c>
      <c r="J30" s="30">
        <v>32792</v>
      </c>
      <c r="K30" s="1" t="s">
        <v>207</v>
      </c>
      <c r="L30" s="1" t="s">
        <v>212</v>
      </c>
    </row>
    <row r="31" spans="1:12" x14ac:dyDescent="0.25">
      <c r="A31" s="2" t="s">
        <v>37</v>
      </c>
      <c r="B31" s="2" t="s">
        <v>162</v>
      </c>
      <c r="C31" s="21">
        <v>45685</v>
      </c>
      <c r="D31" s="2" t="s">
        <v>216</v>
      </c>
      <c r="E31" s="21">
        <v>45697</v>
      </c>
      <c r="F31" s="2">
        <v>12</v>
      </c>
      <c r="G31" s="2" t="s">
        <v>220</v>
      </c>
      <c r="H31" s="2" t="s">
        <v>181</v>
      </c>
      <c r="I31" s="2" t="s">
        <v>202</v>
      </c>
      <c r="J31" s="31">
        <v>36500</v>
      </c>
      <c r="K31" s="2" t="s">
        <v>208</v>
      </c>
      <c r="L31" s="2" t="s">
        <v>212</v>
      </c>
    </row>
    <row r="32" spans="1:12" x14ac:dyDescent="0.25">
      <c r="A32" s="1" t="s">
        <v>38</v>
      </c>
      <c r="B32" s="1" t="s">
        <v>163</v>
      </c>
      <c r="C32" s="20">
        <v>45723</v>
      </c>
      <c r="D32" s="1" t="s">
        <v>221</v>
      </c>
      <c r="E32" s="20">
        <v>45737</v>
      </c>
      <c r="F32" s="1">
        <v>14</v>
      </c>
      <c r="G32" s="1" t="s">
        <v>220</v>
      </c>
      <c r="H32" s="1" t="s">
        <v>182</v>
      </c>
      <c r="I32" s="1" t="s">
        <v>199</v>
      </c>
      <c r="J32" s="30">
        <v>32780</v>
      </c>
      <c r="K32" s="1" t="s">
        <v>207</v>
      </c>
      <c r="L32" s="1" t="s">
        <v>212</v>
      </c>
    </row>
    <row r="33" spans="1:12" x14ac:dyDescent="0.25">
      <c r="A33" s="2" t="s">
        <v>39</v>
      </c>
      <c r="B33" s="2" t="s">
        <v>162</v>
      </c>
      <c r="C33" s="21">
        <v>45741</v>
      </c>
      <c r="D33" s="2" t="s">
        <v>221</v>
      </c>
      <c r="E33" s="21">
        <v>45746</v>
      </c>
      <c r="F33" s="2">
        <v>5</v>
      </c>
      <c r="G33" s="2" t="s">
        <v>217</v>
      </c>
      <c r="H33" s="2" t="s">
        <v>181</v>
      </c>
      <c r="I33" s="2" t="s">
        <v>197</v>
      </c>
      <c r="J33" s="31">
        <v>62227</v>
      </c>
      <c r="K33" s="2" t="s">
        <v>207</v>
      </c>
      <c r="L33" s="2" t="s">
        <v>213</v>
      </c>
    </row>
    <row r="34" spans="1:12" x14ac:dyDescent="0.25">
      <c r="A34" s="1" t="s">
        <v>40</v>
      </c>
      <c r="B34" s="1" t="s">
        <v>162</v>
      </c>
      <c r="C34" s="20">
        <v>45714</v>
      </c>
      <c r="D34" s="1" t="s">
        <v>219</v>
      </c>
      <c r="E34" s="20">
        <v>45723</v>
      </c>
      <c r="F34" s="1">
        <v>9</v>
      </c>
      <c r="G34" s="1" t="s">
        <v>220</v>
      </c>
      <c r="H34" s="1" t="s">
        <v>183</v>
      </c>
      <c r="I34" s="1" t="s">
        <v>197</v>
      </c>
      <c r="J34" s="30">
        <v>39838</v>
      </c>
      <c r="K34" s="1" t="s">
        <v>208</v>
      </c>
      <c r="L34" s="1" t="s">
        <v>212</v>
      </c>
    </row>
    <row r="35" spans="1:12" x14ac:dyDescent="0.25">
      <c r="A35" s="2" t="s">
        <v>41</v>
      </c>
      <c r="B35" s="2" t="s">
        <v>158</v>
      </c>
      <c r="C35" s="21">
        <v>45716</v>
      </c>
      <c r="D35" s="2" t="s">
        <v>219</v>
      </c>
      <c r="E35" s="21">
        <v>45721</v>
      </c>
      <c r="F35" s="2">
        <v>5</v>
      </c>
      <c r="G35" s="2" t="s">
        <v>217</v>
      </c>
      <c r="H35" s="2" t="s">
        <v>184</v>
      </c>
      <c r="I35" s="2" t="s">
        <v>198</v>
      </c>
      <c r="J35" s="31">
        <v>27307</v>
      </c>
      <c r="K35" s="2" t="s">
        <v>207</v>
      </c>
      <c r="L35" s="2" t="s">
        <v>212</v>
      </c>
    </row>
    <row r="36" spans="1:12" x14ac:dyDescent="0.25">
      <c r="A36" s="1" t="s">
        <v>42</v>
      </c>
      <c r="B36" s="1" t="s">
        <v>162</v>
      </c>
      <c r="C36" s="20">
        <v>45743</v>
      </c>
      <c r="D36" s="1" t="s">
        <v>221</v>
      </c>
      <c r="E36" s="20">
        <v>45745</v>
      </c>
      <c r="F36" s="1">
        <v>2</v>
      </c>
      <c r="G36" s="1" t="s">
        <v>222</v>
      </c>
      <c r="H36" s="1" t="s">
        <v>181</v>
      </c>
      <c r="I36" s="1" t="s">
        <v>197</v>
      </c>
      <c r="J36" s="30">
        <v>49871</v>
      </c>
      <c r="K36" s="1" t="s">
        <v>207</v>
      </c>
      <c r="L36" s="1" t="s">
        <v>212</v>
      </c>
    </row>
    <row r="37" spans="1:12" x14ac:dyDescent="0.25">
      <c r="A37" s="2" t="s">
        <v>43</v>
      </c>
      <c r="B37" s="2" t="s">
        <v>159</v>
      </c>
      <c r="C37" s="21">
        <v>45726</v>
      </c>
      <c r="D37" s="2" t="s">
        <v>221</v>
      </c>
      <c r="E37" s="21">
        <v>45727</v>
      </c>
      <c r="F37" s="2">
        <v>1</v>
      </c>
      <c r="G37" s="2" t="s">
        <v>222</v>
      </c>
      <c r="H37" s="2" t="s">
        <v>166</v>
      </c>
      <c r="I37" s="2" t="s">
        <v>194</v>
      </c>
      <c r="J37" s="31">
        <v>25350</v>
      </c>
      <c r="K37" s="2" t="s">
        <v>207</v>
      </c>
      <c r="L37" s="2" t="s">
        <v>212</v>
      </c>
    </row>
    <row r="38" spans="1:12" x14ac:dyDescent="0.25">
      <c r="A38" s="1" t="s">
        <v>44</v>
      </c>
      <c r="B38" s="1" t="s">
        <v>158</v>
      </c>
      <c r="C38" s="20">
        <v>45684</v>
      </c>
      <c r="D38" s="1" t="s">
        <v>216</v>
      </c>
      <c r="E38" s="20"/>
      <c r="F38" s="1"/>
      <c r="G38" s="1" t="s">
        <v>218</v>
      </c>
      <c r="H38" s="1" t="s">
        <v>185</v>
      </c>
      <c r="I38" s="1" t="s">
        <v>193</v>
      </c>
      <c r="J38" s="30">
        <v>42506</v>
      </c>
      <c r="K38" s="1" t="s">
        <v>207</v>
      </c>
      <c r="L38" s="1" t="s">
        <v>212</v>
      </c>
    </row>
    <row r="39" spans="1:12" x14ac:dyDescent="0.25">
      <c r="A39" s="2" t="s">
        <v>45</v>
      </c>
      <c r="B39" s="2" t="s">
        <v>163</v>
      </c>
      <c r="C39" s="21">
        <v>45720</v>
      </c>
      <c r="D39" s="2" t="s">
        <v>221</v>
      </c>
      <c r="E39" s="21">
        <v>45733</v>
      </c>
      <c r="F39" s="2">
        <v>13</v>
      </c>
      <c r="G39" s="2" t="s">
        <v>220</v>
      </c>
      <c r="H39" s="2" t="s">
        <v>172</v>
      </c>
      <c r="I39" s="2" t="s">
        <v>199</v>
      </c>
      <c r="J39" s="31">
        <v>4945.2</v>
      </c>
      <c r="K39" s="2" t="s">
        <v>207</v>
      </c>
      <c r="L39" s="2" t="s">
        <v>212</v>
      </c>
    </row>
    <row r="40" spans="1:12" x14ac:dyDescent="0.25">
      <c r="A40" s="1" t="s">
        <v>46</v>
      </c>
      <c r="B40" s="1" t="s">
        <v>162</v>
      </c>
      <c r="C40" s="20">
        <v>45711</v>
      </c>
      <c r="D40" s="1" t="s">
        <v>219</v>
      </c>
      <c r="E40" s="20">
        <v>45714</v>
      </c>
      <c r="F40" s="1">
        <v>3</v>
      </c>
      <c r="G40" s="1" t="s">
        <v>222</v>
      </c>
      <c r="H40" s="1" t="s">
        <v>183</v>
      </c>
      <c r="I40" s="1" t="s">
        <v>202</v>
      </c>
      <c r="J40" s="30">
        <v>24062</v>
      </c>
      <c r="K40" s="1" t="s">
        <v>207</v>
      </c>
      <c r="L40" s="1" t="s">
        <v>212</v>
      </c>
    </row>
    <row r="41" spans="1:12" x14ac:dyDescent="0.25">
      <c r="A41" s="2" t="s">
        <v>47</v>
      </c>
      <c r="B41" s="2" t="s">
        <v>158</v>
      </c>
      <c r="C41" s="21">
        <v>45687</v>
      </c>
      <c r="D41" s="2" t="s">
        <v>216</v>
      </c>
      <c r="E41" s="21">
        <v>45699</v>
      </c>
      <c r="F41" s="2">
        <v>12</v>
      </c>
      <c r="G41" s="2" t="s">
        <v>220</v>
      </c>
      <c r="H41" s="2" t="s">
        <v>165</v>
      </c>
      <c r="I41" s="2" t="s">
        <v>193</v>
      </c>
      <c r="J41" s="31">
        <v>42362</v>
      </c>
      <c r="K41" s="2" t="s">
        <v>207</v>
      </c>
      <c r="L41" s="2" t="s">
        <v>212</v>
      </c>
    </row>
    <row r="42" spans="1:12" x14ac:dyDescent="0.25">
      <c r="A42" s="1" t="s">
        <v>48</v>
      </c>
      <c r="B42" s="1" t="s">
        <v>159</v>
      </c>
      <c r="C42" s="20">
        <v>45702</v>
      </c>
      <c r="D42" s="1" t="s">
        <v>219</v>
      </c>
      <c r="E42" s="20">
        <v>45706</v>
      </c>
      <c r="F42" s="1">
        <v>4</v>
      </c>
      <c r="G42" s="1" t="s">
        <v>217</v>
      </c>
      <c r="H42" s="1" t="s">
        <v>173</v>
      </c>
      <c r="I42" s="1" t="s">
        <v>200</v>
      </c>
      <c r="J42" s="30">
        <v>48862</v>
      </c>
      <c r="K42" s="1" t="s">
        <v>207</v>
      </c>
      <c r="L42" s="1" t="s">
        <v>212</v>
      </c>
    </row>
    <row r="43" spans="1:12" x14ac:dyDescent="0.25">
      <c r="A43" s="2" t="s">
        <v>49</v>
      </c>
      <c r="B43" s="2" t="s">
        <v>158</v>
      </c>
      <c r="C43" s="21">
        <v>45678</v>
      </c>
      <c r="D43" s="2" t="s">
        <v>216</v>
      </c>
      <c r="E43" s="21">
        <v>45690</v>
      </c>
      <c r="F43" s="2">
        <v>12</v>
      </c>
      <c r="G43" s="2" t="s">
        <v>220</v>
      </c>
      <c r="H43" s="2" t="s">
        <v>165</v>
      </c>
      <c r="I43" s="2" t="s">
        <v>193</v>
      </c>
      <c r="J43" s="31">
        <v>42056</v>
      </c>
      <c r="K43" s="2" t="s">
        <v>209</v>
      </c>
      <c r="L43" s="2" t="s">
        <v>212</v>
      </c>
    </row>
    <row r="44" spans="1:12" x14ac:dyDescent="0.25">
      <c r="A44" s="1" t="s">
        <v>50</v>
      </c>
      <c r="B44" s="1" t="s">
        <v>161</v>
      </c>
      <c r="C44" s="20">
        <v>45733</v>
      </c>
      <c r="D44" s="1" t="s">
        <v>221</v>
      </c>
      <c r="E44" s="20">
        <v>45745</v>
      </c>
      <c r="F44" s="1">
        <v>12</v>
      </c>
      <c r="G44" s="1" t="s">
        <v>220</v>
      </c>
      <c r="H44" s="1" t="s">
        <v>175</v>
      </c>
      <c r="I44" s="1" t="s">
        <v>204</v>
      </c>
      <c r="J44" s="30">
        <v>38612</v>
      </c>
      <c r="K44" s="1" t="s">
        <v>207</v>
      </c>
      <c r="L44" s="1" t="s">
        <v>212</v>
      </c>
    </row>
    <row r="45" spans="1:12" x14ac:dyDescent="0.25">
      <c r="A45" s="2" t="s">
        <v>51</v>
      </c>
      <c r="B45" s="2" t="s">
        <v>162</v>
      </c>
      <c r="C45" s="21">
        <v>45694</v>
      </c>
      <c r="D45" s="2" t="s">
        <v>219</v>
      </c>
      <c r="E45" s="21">
        <v>45699</v>
      </c>
      <c r="F45" s="2">
        <v>5</v>
      </c>
      <c r="G45" s="2" t="s">
        <v>217</v>
      </c>
      <c r="H45" s="2" t="s">
        <v>181</v>
      </c>
      <c r="I45" s="2" t="s">
        <v>197</v>
      </c>
      <c r="J45" s="31">
        <v>36387</v>
      </c>
      <c r="K45" s="2" t="s">
        <v>208</v>
      </c>
      <c r="L45" s="2" t="s">
        <v>212</v>
      </c>
    </row>
    <row r="46" spans="1:12" x14ac:dyDescent="0.25">
      <c r="A46" s="1" t="s">
        <v>52</v>
      </c>
      <c r="B46" s="1" t="s">
        <v>163</v>
      </c>
      <c r="C46" s="20">
        <v>45692</v>
      </c>
      <c r="D46" s="1" t="s">
        <v>219</v>
      </c>
      <c r="E46" s="20">
        <v>45697</v>
      </c>
      <c r="F46" s="1">
        <v>5</v>
      </c>
      <c r="G46" s="1" t="s">
        <v>217</v>
      </c>
      <c r="H46" s="1" t="s">
        <v>186</v>
      </c>
      <c r="I46" s="1" t="s">
        <v>199</v>
      </c>
      <c r="J46" s="30">
        <v>22258</v>
      </c>
      <c r="K46" s="1" t="s">
        <v>207</v>
      </c>
      <c r="L46" s="1" t="s">
        <v>212</v>
      </c>
    </row>
    <row r="47" spans="1:12" x14ac:dyDescent="0.25">
      <c r="A47" s="2" t="s">
        <v>53</v>
      </c>
      <c r="B47" s="2" t="s">
        <v>164</v>
      </c>
      <c r="C47" s="21">
        <v>45722</v>
      </c>
      <c r="D47" s="2" t="s">
        <v>221</v>
      </c>
      <c r="E47" s="21">
        <v>45733</v>
      </c>
      <c r="F47" s="2">
        <v>11</v>
      </c>
      <c r="G47" s="2" t="s">
        <v>220</v>
      </c>
      <c r="H47" s="2" t="s">
        <v>187</v>
      </c>
      <c r="I47" s="2" t="s">
        <v>206</v>
      </c>
      <c r="J47" s="31">
        <v>31362</v>
      </c>
      <c r="K47" s="2" t="s">
        <v>207</v>
      </c>
      <c r="L47" s="2" t="s">
        <v>212</v>
      </c>
    </row>
    <row r="48" spans="1:12" x14ac:dyDescent="0.25">
      <c r="A48" s="1" t="s">
        <v>54</v>
      </c>
      <c r="B48" s="1" t="s">
        <v>160</v>
      </c>
      <c r="C48" s="20">
        <v>45662</v>
      </c>
      <c r="D48" s="1" t="s">
        <v>216</v>
      </c>
      <c r="E48" s="20">
        <v>45671</v>
      </c>
      <c r="F48" s="1">
        <v>9</v>
      </c>
      <c r="G48" s="1" t="s">
        <v>220</v>
      </c>
      <c r="H48" s="1" t="s">
        <v>188</v>
      </c>
      <c r="I48" s="1" t="s">
        <v>195</v>
      </c>
      <c r="J48" s="30">
        <v>34472</v>
      </c>
      <c r="K48" s="1" t="s">
        <v>207</v>
      </c>
      <c r="L48" s="1" t="s">
        <v>212</v>
      </c>
    </row>
    <row r="49" spans="1:12" x14ac:dyDescent="0.25">
      <c r="A49" s="2" t="s">
        <v>55</v>
      </c>
      <c r="B49" s="2" t="s">
        <v>164</v>
      </c>
      <c r="C49" s="21">
        <v>45677</v>
      </c>
      <c r="D49" s="2" t="s">
        <v>216</v>
      </c>
      <c r="E49" s="21">
        <v>45685</v>
      </c>
      <c r="F49" s="2">
        <v>8</v>
      </c>
      <c r="G49" s="2" t="s">
        <v>220</v>
      </c>
      <c r="H49" s="2" t="s">
        <v>189</v>
      </c>
      <c r="I49" s="2" t="s">
        <v>206</v>
      </c>
      <c r="J49" s="31">
        <v>52685</v>
      </c>
      <c r="K49" s="2" t="s">
        <v>207</v>
      </c>
      <c r="L49" s="2" t="s">
        <v>213</v>
      </c>
    </row>
    <row r="50" spans="1:12" x14ac:dyDescent="0.25">
      <c r="A50" s="1" t="s">
        <v>56</v>
      </c>
      <c r="B50" s="1" t="s">
        <v>161</v>
      </c>
      <c r="C50" s="20">
        <v>45747</v>
      </c>
      <c r="D50" s="1" t="s">
        <v>221</v>
      </c>
      <c r="E50" s="20">
        <v>45759</v>
      </c>
      <c r="F50" s="1">
        <v>12</v>
      </c>
      <c r="G50" s="1" t="s">
        <v>220</v>
      </c>
      <c r="H50" s="1" t="s">
        <v>175</v>
      </c>
      <c r="I50" s="1" t="s">
        <v>196</v>
      </c>
      <c r="J50" s="30">
        <v>44123</v>
      </c>
      <c r="K50" s="1" t="s">
        <v>207</v>
      </c>
      <c r="L50" s="1" t="s">
        <v>212</v>
      </c>
    </row>
    <row r="51" spans="1:12" x14ac:dyDescent="0.25">
      <c r="A51" s="2" t="s">
        <v>57</v>
      </c>
      <c r="B51" s="2" t="s">
        <v>162</v>
      </c>
      <c r="C51" s="21">
        <v>45708</v>
      </c>
      <c r="D51" s="2" t="s">
        <v>219</v>
      </c>
      <c r="E51" s="21">
        <v>45718</v>
      </c>
      <c r="F51" s="2">
        <v>10</v>
      </c>
      <c r="G51" s="2" t="s">
        <v>220</v>
      </c>
      <c r="H51" s="2" t="s">
        <v>190</v>
      </c>
      <c r="I51" s="2" t="s">
        <v>202</v>
      </c>
      <c r="J51" s="31">
        <v>18844</v>
      </c>
      <c r="K51" s="2" t="s">
        <v>207</v>
      </c>
      <c r="L51" s="2" t="s">
        <v>212</v>
      </c>
    </row>
    <row r="52" spans="1:12" x14ac:dyDescent="0.25">
      <c r="A52" s="1" t="s">
        <v>58</v>
      </c>
      <c r="B52" s="1" t="s">
        <v>160</v>
      </c>
      <c r="C52" s="20">
        <v>45705</v>
      </c>
      <c r="D52" s="1" t="s">
        <v>219</v>
      </c>
      <c r="E52" s="20">
        <v>45717</v>
      </c>
      <c r="F52" s="1">
        <v>12</v>
      </c>
      <c r="G52" s="1" t="s">
        <v>220</v>
      </c>
      <c r="H52" s="1" t="s">
        <v>178</v>
      </c>
      <c r="I52" s="1" t="s">
        <v>203</v>
      </c>
      <c r="J52" s="30">
        <v>43889</v>
      </c>
      <c r="K52" s="1" t="s">
        <v>207</v>
      </c>
      <c r="L52" s="1" t="s">
        <v>212</v>
      </c>
    </row>
    <row r="53" spans="1:12" x14ac:dyDescent="0.25">
      <c r="A53" s="2" t="s">
        <v>59</v>
      </c>
      <c r="B53" s="2" t="s">
        <v>160</v>
      </c>
      <c r="C53" s="21">
        <v>45706</v>
      </c>
      <c r="D53" s="2" t="s">
        <v>219</v>
      </c>
      <c r="E53" s="21">
        <v>45710</v>
      </c>
      <c r="F53" s="2">
        <v>4</v>
      </c>
      <c r="G53" s="2" t="s">
        <v>217</v>
      </c>
      <c r="H53" s="2" t="s">
        <v>167</v>
      </c>
      <c r="I53" s="2" t="s">
        <v>195</v>
      </c>
      <c r="J53" s="31">
        <v>35379</v>
      </c>
      <c r="K53" s="2" t="s">
        <v>208</v>
      </c>
      <c r="L53" s="2" t="s">
        <v>212</v>
      </c>
    </row>
    <row r="54" spans="1:12" x14ac:dyDescent="0.25">
      <c r="A54" s="1" t="s">
        <v>60</v>
      </c>
      <c r="B54" s="1" t="s">
        <v>161</v>
      </c>
      <c r="C54" s="20">
        <v>45680</v>
      </c>
      <c r="D54" s="1" t="s">
        <v>216</v>
      </c>
      <c r="E54" s="20">
        <v>45692</v>
      </c>
      <c r="F54" s="1">
        <v>12</v>
      </c>
      <c r="G54" s="1" t="s">
        <v>220</v>
      </c>
      <c r="H54" s="1" t="s">
        <v>169</v>
      </c>
      <c r="I54" s="1" t="s">
        <v>204</v>
      </c>
      <c r="J54" s="30">
        <v>31877</v>
      </c>
      <c r="K54" s="1" t="s">
        <v>207</v>
      </c>
      <c r="L54" s="1" t="s">
        <v>212</v>
      </c>
    </row>
    <row r="55" spans="1:12" x14ac:dyDescent="0.25">
      <c r="A55" s="2" t="s">
        <v>61</v>
      </c>
      <c r="B55" s="2" t="s">
        <v>159</v>
      </c>
      <c r="C55" s="21">
        <v>45692</v>
      </c>
      <c r="D55" s="2" t="s">
        <v>219</v>
      </c>
      <c r="E55" s="21">
        <v>45701</v>
      </c>
      <c r="F55" s="2">
        <v>9</v>
      </c>
      <c r="G55" s="2" t="s">
        <v>220</v>
      </c>
      <c r="H55" s="2" t="s">
        <v>173</v>
      </c>
      <c r="I55" s="2" t="s">
        <v>200</v>
      </c>
      <c r="J55" s="31">
        <v>47340</v>
      </c>
      <c r="K55" s="2" t="s">
        <v>207</v>
      </c>
      <c r="L55" s="2" t="s">
        <v>212</v>
      </c>
    </row>
    <row r="56" spans="1:12" x14ac:dyDescent="0.25">
      <c r="A56" s="1" t="s">
        <v>62</v>
      </c>
      <c r="B56" s="1" t="s">
        <v>160</v>
      </c>
      <c r="C56" s="20">
        <v>45692</v>
      </c>
      <c r="D56" s="1" t="s">
        <v>219</v>
      </c>
      <c r="E56" s="20">
        <v>45693</v>
      </c>
      <c r="F56" s="1">
        <v>1</v>
      </c>
      <c r="G56" s="1" t="s">
        <v>222</v>
      </c>
      <c r="H56" s="1" t="s">
        <v>167</v>
      </c>
      <c r="I56" s="1" t="s">
        <v>195</v>
      </c>
      <c r="J56" s="30">
        <v>52372</v>
      </c>
      <c r="K56" s="1" t="s">
        <v>207</v>
      </c>
      <c r="L56" s="1" t="s">
        <v>213</v>
      </c>
    </row>
    <row r="57" spans="1:12" x14ac:dyDescent="0.25">
      <c r="A57" s="2" t="s">
        <v>63</v>
      </c>
      <c r="B57" s="2" t="s">
        <v>159</v>
      </c>
      <c r="C57" s="21">
        <v>45738</v>
      </c>
      <c r="D57" s="2" t="s">
        <v>221</v>
      </c>
      <c r="E57" s="21">
        <v>45740</v>
      </c>
      <c r="F57" s="2">
        <v>2</v>
      </c>
      <c r="G57" s="2" t="s">
        <v>222</v>
      </c>
      <c r="H57" s="2" t="s">
        <v>173</v>
      </c>
      <c r="I57" s="2" t="s">
        <v>200</v>
      </c>
      <c r="J57" s="31">
        <v>51175</v>
      </c>
      <c r="K57" s="2" t="s">
        <v>208</v>
      </c>
      <c r="L57" s="2" t="s">
        <v>213</v>
      </c>
    </row>
    <row r="58" spans="1:12" x14ac:dyDescent="0.25">
      <c r="A58" s="1" t="s">
        <v>64</v>
      </c>
      <c r="B58" s="1" t="s">
        <v>160</v>
      </c>
      <c r="C58" s="20">
        <v>45700</v>
      </c>
      <c r="D58" s="1" t="s">
        <v>219</v>
      </c>
      <c r="E58" s="20">
        <v>45708</v>
      </c>
      <c r="F58" s="1">
        <v>8</v>
      </c>
      <c r="G58" s="1" t="s">
        <v>220</v>
      </c>
      <c r="H58" s="1" t="s">
        <v>178</v>
      </c>
      <c r="I58" s="1" t="s">
        <v>203</v>
      </c>
      <c r="J58" s="30">
        <v>29929</v>
      </c>
      <c r="K58" s="1" t="s">
        <v>207</v>
      </c>
      <c r="L58" s="1" t="s">
        <v>212</v>
      </c>
    </row>
    <row r="59" spans="1:12" x14ac:dyDescent="0.25">
      <c r="A59" s="2" t="s">
        <v>65</v>
      </c>
      <c r="B59" s="2" t="s">
        <v>162</v>
      </c>
      <c r="C59" s="21">
        <v>45706</v>
      </c>
      <c r="D59" s="2" t="s">
        <v>219</v>
      </c>
      <c r="E59" s="21">
        <v>45711</v>
      </c>
      <c r="F59" s="2">
        <v>5</v>
      </c>
      <c r="G59" s="2" t="s">
        <v>217</v>
      </c>
      <c r="H59" s="2" t="s">
        <v>181</v>
      </c>
      <c r="I59" s="2" t="s">
        <v>197</v>
      </c>
      <c r="J59" s="31">
        <v>36289</v>
      </c>
      <c r="K59" s="2" t="s">
        <v>207</v>
      </c>
      <c r="L59" s="2" t="s">
        <v>212</v>
      </c>
    </row>
    <row r="60" spans="1:12" x14ac:dyDescent="0.25">
      <c r="A60" s="1" t="s">
        <v>66</v>
      </c>
      <c r="B60" s="1" t="s">
        <v>160</v>
      </c>
      <c r="C60" s="20">
        <v>45693</v>
      </c>
      <c r="D60" s="1" t="s">
        <v>219</v>
      </c>
      <c r="E60" s="20">
        <v>45707</v>
      </c>
      <c r="F60" s="1">
        <v>14</v>
      </c>
      <c r="G60" s="1" t="s">
        <v>220</v>
      </c>
      <c r="H60" s="1" t="s">
        <v>178</v>
      </c>
      <c r="I60" s="1" t="s">
        <v>203</v>
      </c>
      <c r="J60" s="30">
        <v>43975</v>
      </c>
      <c r="K60" s="1" t="s">
        <v>207</v>
      </c>
      <c r="L60" s="1" t="s">
        <v>212</v>
      </c>
    </row>
    <row r="61" spans="1:12" x14ac:dyDescent="0.25">
      <c r="A61" s="2" t="s">
        <v>67</v>
      </c>
      <c r="B61" s="2" t="s">
        <v>163</v>
      </c>
      <c r="C61" s="21">
        <v>45700</v>
      </c>
      <c r="D61" s="2" t="s">
        <v>219</v>
      </c>
      <c r="E61" s="21">
        <v>45712</v>
      </c>
      <c r="F61" s="2">
        <v>12</v>
      </c>
      <c r="G61" s="2" t="s">
        <v>220</v>
      </c>
      <c r="H61" s="2" t="s">
        <v>182</v>
      </c>
      <c r="I61" s="2" t="s">
        <v>199</v>
      </c>
      <c r="J61" s="31">
        <v>51707</v>
      </c>
      <c r="K61" s="2" t="s">
        <v>207</v>
      </c>
      <c r="L61" s="2" t="s">
        <v>213</v>
      </c>
    </row>
    <row r="62" spans="1:12" x14ac:dyDescent="0.25">
      <c r="A62" s="1" t="s">
        <v>68</v>
      </c>
      <c r="B62" s="1" t="s">
        <v>161</v>
      </c>
      <c r="C62" s="20">
        <v>45740</v>
      </c>
      <c r="D62" s="1" t="s">
        <v>221</v>
      </c>
      <c r="E62" s="20">
        <v>45754</v>
      </c>
      <c r="F62" s="1">
        <v>14</v>
      </c>
      <c r="G62" s="1" t="s">
        <v>220</v>
      </c>
      <c r="H62" s="1" t="s">
        <v>191</v>
      </c>
      <c r="I62" s="1" t="s">
        <v>196</v>
      </c>
      <c r="J62" s="30">
        <v>34250</v>
      </c>
      <c r="K62" s="1" t="s">
        <v>207</v>
      </c>
      <c r="L62" s="1" t="s">
        <v>212</v>
      </c>
    </row>
    <row r="63" spans="1:12" x14ac:dyDescent="0.25">
      <c r="A63" s="2" t="s">
        <v>69</v>
      </c>
      <c r="B63" s="2" t="s">
        <v>163</v>
      </c>
      <c r="C63" s="21">
        <v>45696</v>
      </c>
      <c r="D63" s="2" t="s">
        <v>219</v>
      </c>
      <c r="E63" s="21">
        <v>45705</v>
      </c>
      <c r="F63" s="2">
        <v>9</v>
      </c>
      <c r="G63" s="2" t="s">
        <v>220</v>
      </c>
      <c r="H63" s="2" t="s">
        <v>182</v>
      </c>
      <c r="I63" s="2" t="s">
        <v>199</v>
      </c>
      <c r="J63" s="31">
        <v>37772</v>
      </c>
      <c r="K63" s="2" t="s">
        <v>207</v>
      </c>
      <c r="L63" s="2" t="s">
        <v>212</v>
      </c>
    </row>
    <row r="64" spans="1:12" x14ac:dyDescent="0.25">
      <c r="A64" s="1" t="s">
        <v>70</v>
      </c>
      <c r="B64" s="1" t="s">
        <v>162</v>
      </c>
      <c r="C64" s="20">
        <v>45732</v>
      </c>
      <c r="D64" s="1" t="s">
        <v>221</v>
      </c>
      <c r="E64" s="20">
        <v>45740</v>
      </c>
      <c r="F64" s="1">
        <v>8</v>
      </c>
      <c r="G64" s="1" t="s">
        <v>220</v>
      </c>
      <c r="H64" s="1" t="s">
        <v>183</v>
      </c>
      <c r="I64" s="1" t="s">
        <v>197</v>
      </c>
      <c r="J64" s="30">
        <v>26724</v>
      </c>
      <c r="K64" s="1" t="s">
        <v>207</v>
      </c>
      <c r="L64" s="1" t="s">
        <v>212</v>
      </c>
    </row>
    <row r="65" spans="1:12" x14ac:dyDescent="0.25">
      <c r="A65" s="2" t="s">
        <v>71</v>
      </c>
      <c r="B65" s="2" t="s">
        <v>161</v>
      </c>
      <c r="C65" s="21">
        <v>45691</v>
      </c>
      <c r="D65" s="2" t="s">
        <v>219</v>
      </c>
      <c r="E65" s="21">
        <v>45704</v>
      </c>
      <c r="F65" s="2">
        <v>13</v>
      </c>
      <c r="G65" s="2" t="s">
        <v>220</v>
      </c>
      <c r="H65" s="2" t="s">
        <v>191</v>
      </c>
      <c r="I65" s="2" t="s">
        <v>204</v>
      </c>
      <c r="J65" s="31">
        <v>25646</v>
      </c>
      <c r="K65" s="2" t="s">
        <v>207</v>
      </c>
      <c r="L65" s="2" t="s">
        <v>212</v>
      </c>
    </row>
    <row r="66" spans="1:12" x14ac:dyDescent="0.25">
      <c r="A66" s="1" t="s">
        <v>72</v>
      </c>
      <c r="B66" s="1" t="s">
        <v>164</v>
      </c>
      <c r="C66" s="20">
        <v>45683</v>
      </c>
      <c r="D66" s="1" t="s">
        <v>216</v>
      </c>
      <c r="E66" s="20">
        <v>45684</v>
      </c>
      <c r="F66" s="1">
        <v>1</v>
      </c>
      <c r="G66" s="1" t="s">
        <v>222</v>
      </c>
      <c r="H66" s="1" t="s">
        <v>180</v>
      </c>
      <c r="I66" s="1" t="s">
        <v>201</v>
      </c>
      <c r="J66" s="30">
        <v>49750</v>
      </c>
      <c r="K66" s="1" t="s">
        <v>209</v>
      </c>
      <c r="L66" s="1" t="s">
        <v>212</v>
      </c>
    </row>
    <row r="67" spans="1:12" x14ac:dyDescent="0.25">
      <c r="A67" s="2" t="s">
        <v>73</v>
      </c>
      <c r="B67" s="2" t="s">
        <v>158</v>
      </c>
      <c r="C67" s="21">
        <v>45702</v>
      </c>
      <c r="D67" s="2" t="s">
        <v>219</v>
      </c>
      <c r="E67" s="21">
        <v>45714</v>
      </c>
      <c r="F67" s="2">
        <v>12</v>
      </c>
      <c r="G67" s="2" t="s">
        <v>220</v>
      </c>
      <c r="H67" s="2" t="s">
        <v>184</v>
      </c>
      <c r="I67" s="2" t="s">
        <v>198</v>
      </c>
      <c r="J67" s="31">
        <v>56275</v>
      </c>
      <c r="K67" s="2" t="s">
        <v>207</v>
      </c>
      <c r="L67" s="2" t="s">
        <v>213</v>
      </c>
    </row>
    <row r="68" spans="1:12" x14ac:dyDescent="0.25">
      <c r="A68" s="1" t="s">
        <v>74</v>
      </c>
      <c r="B68" s="1" t="s">
        <v>162</v>
      </c>
      <c r="C68" s="20">
        <v>45672</v>
      </c>
      <c r="D68" s="1" t="s">
        <v>216</v>
      </c>
      <c r="E68" s="20">
        <v>45676</v>
      </c>
      <c r="F68" s="1">
        <v>4</v>
      </c>
      <c r="G68" s="1" t="s">
        <v>217</v>
      </c>
      <c r="H68" s="1" t="s">
        <v>171</v>
      </c>
      <c r="I68" s="1" t="s">
        <v>197</v>
      </c>
      <c r="J68" s="30">
        <v>39136</v>
      </c>
      <c r="K68" s="1" t="s">
        <v>208</v>
      </c>
      <c r="L68" s="1" t="s">
        <v>212</v>
      </c>
    </row>
    <row r="69" spans="1:12" x14ac:dyDescent="0.25">
      <c r="A69" s="2" t="s">
        <v>75</v>
      </c>
      <c r="B69" s="2" t="s">
        <v>158</v>
      </c>
      <c r="C69" s="21">
        <v>45712</v>
      </c>
      <c r="D69" s="2" t="s">
        <v>219</v>
      </c>
      <c r="E69" s="21">
        <v>45724</v>
      </c>
      <c r="F69" s="2">
        <v>12</v>
      </c>
      <c r="G69" s="2" t="s">
        <v>220</v>
      </c>
      <c r="H69" s="2" t="s">
        <v>185</v>
      </c>
      <c r="I69" s="2" t="s">
        <v>198</v>
      </c>
      <c r="J69" s="31">
        <v>52042</v>
      </c>
      <c r="K69" s="2" t="s">
        <v>208</v>
      </c>
      <c r="L69" s="2" t="s">
        <v>213</v>
      </c>
    </row>
    <row r="70" spans="1:12" x14ac:dyDescent="0.25">
      <c r="A70" s="1" t="s">
        <v>76</v>
      </c>
      <c r="B70" s="1" t="s">
        <v>159</v>
      </c>
      <c r="C70" s="20">
        <v>45721</v>
      </c>
      <c r="D70" s="1" t="s">
        <v>221</v>
      </c>
      <c r="E70" s="20">
        <v>45727</v>
      </c>
      <c r="F70" s="1">
        <v>6</v>
      </c>
      <c r="G70" s="1" t="s">
        <v>217</v>
      </c>
      <c r="H70" s="1" t="s">
        <v>192</v>
      </c>
      <c r="I70" s="1" t="s">
        <v>194</v>
      </c>
      <c r="J70" s="30">
        <v>44340</v>
      </c>
      <c r="K70" s="1" t="s">
        <v>207</v>
      </c>
      <c r="L70" s="1" t="s">
        <v>212</v>
      </c>
    </row>
    <row r="71" spans="1:12" x14ac:dyDescent="0.25">
      <c r="A71" s="2" t="s">
        <v>77</v>
      </c>
      <c r="B71" s="2" t="s">
        <v>163</v>
      </c>
      <c r="C71" s="21">
        <v>45728</v>
      </c>
      <c r="D71" s="2" t="s">
        <v>221</v>
      </c>
      <c r="E71" s="21">
        <v>45731</v>
      </c>
      <c r="F71" s="2">
        <v>3</v>
      </c>
      <c r="G71" s="2" t="s">
        <v>222</v>
      </c>
      <c r="H71" s="2" t="s">
        <v>186</v>
      </c>
      <c r="I71" s="2" t="s">
        <v>199</v>
      </c>
      <c r="J71" s="31">
        <v>32259</v>
      </c>
      <c r="K71" s="2" t="s">
        <v>207</v>
      </c>
      <c r="L71" s="2" t="s">
        <v>212</v>
      </c>
    </row>
    <row r="72" spans="1:12" x14ac:dyDescent="0.25">
      <c r="A72" s="1" t="s">
        <v>78</v>
      </c>
      <c r="B72" s="1" t="s">
        <v>158</v>
      </c>
      <c r="C72" s="20">
        <v>45689</v>
      </c>
      <c r="D72" s="1" t="s">
        <v>219</v>
      </c>
      <c r="E72" s="20">
        <v>45701</v>
      </c>
      <c r="F72" s="1">
        <v>12</v>
      </c>
      <c r="G72" s="1" t="s">
        <v>220</v>
      </c>
      <c r="H72" s="1" t="s">
        <v>184</v>
      </c>
      <c r="I72" s="1" t="s">
        <v>193</v>
      </c>
      <c r="J72" s="30">
        <v>44337</v>
      </c>
      <c r="K72" s="1" t="s">
        <v>207</v>
      </c>
      <c r="L72" s="1" t="s">
        <v>212</v>
      </c>
    </row>
    <row r="73" spans="1:12" x14ac:dyDescent="0.25">
      <c r="A73" s="2" t="s">
        <v>79</v>
      </c>
      <c r="B73" s="2" t="s">
        <v>162</v>
      </c>
      <c r="C73" s="21">
        <v>45673</v>
      </c>
      <c r="D73" s="2" t="s">
        <v>216</v>
      </c>
      <c r="E73" s="21">
        <v>45676</v>
      </c>
      <c r="F73" s="2">
        <v>3</v>
      </c>
      <c r="G73" s="2" t="s">
        <v>222</v>
      </c>
      <c r="H73" s="2" t="s">
        <v>171</v>
      </c>
      <c r="I73" s="2" t="s">
        <v>202</v>
      </c>
      <c r="J73" s="31">
        <v>58456</v>
      </c>
      <c r="K73" s="2" t="s">
        <v>207</v>
      </c>
      <c r="L73" s="2" t="s">
        <v>213</v>
      </c>
    </row>
    <row r="74" spans="1:12" x14ac:dyDescent="0.25">
      <c r="A74" s="1" t="s">
        <v>80</v>
      </c>
      <c r="B74" s="1" t="s">
        <v>161</v>
      </c>
      <c r="C74" s="20">
        <v>45717</v>
      </c>
      <c r="D74" s="1" t="s">
        <v>221</v>
      </c>
      <c r="E74" s="20">
        <v>45719</v>
      </c>
      <c r="F74" s="1">
        <v>2</v>
      </c>
      <c r="G74" s="1" t="s">
        <v>222</v>
      </c>
      <c r="H74" s="1" t="s">
        <v>169</v>
      </c>
      <c r="I74" s="1" t="s">
        <v>204</v>
      </c>
      <c r="J74" s="30">
        <v>39570</v>
      </c>
      <c r="K74" s="1" t="s">
        <v>209</v>
      </c>
      <c r="L74" s="1" t="s">
        <v>212</v>
      </c>
    </row>
    <row r="75" spans="1:12" x14ac:dyDescent="0.25">
      <c r="A75" s="2" t="s">
        <v>81</v>
      </c>
      <c r="B75" s="2" t="s">
        <v>164</v>
      </c>
      <c r="C75" s="21">
        <v>45747</v>
      </c>
      <c r="D75" s="2" t="s">
        <v>221</v>
      </c>
      <c r="E75" s="21">
        <v>45753</v>
      </c>
      <c r="F75" s="2">
        <v>6</v>
      </c>
      <c r="G75" s="2" t="s">
        <v>217</v>
      </c>
      <c r="H75" s="2" t="s">
        <v>180</v>
      </c>
      <c r="I75" s="2" t="s">
        <v>206</v>
      </c>
      <c r="J75" s="31">
        <v>58776</v>
      </c>
      <c r="K75" s="2" t="s">
        <v>208</v>
      </c>
      <c r="L75" s="2" t="s">
        <v>213</v>
      </c>
    </row>
    <row r="76" spans="1:12" x14ac:dyDescent="0.25">
      <c r="A76" s="1" t="s">
        <v>82</v>
      </c>
      <c r="B76" s="1" t="s">
        <v>159</v>
      </c>
      <c r="C76" s="20">
        <v>45671</v>
      </c>
      <c r="D76" s="1" t="s">
        <v>216</v>
      </c>
      <c r="E76" s="20">
        <v>45682</v>
      </c>
      <c r="F76" s="1">
        <v>11</v>
      </c>
      <c r="G76" s="1" t="s">
        <v>220</v>
      </c>
      <c r="H76" s="1" t="s">
        <v>192</v>
      </c>
      <c r="I76" s="1" t="s">
        <v>200</v>
      </c>
      <c r="J76" s="30">
        <v>8563</v>
      </c>
      <c r="K76" s="1" t="s">
        <v>207</v>
      </c>
      <c r="L76" s="1" t="s">
        <v>212</v>
      </c>
    </row>
    <row r="77" spans="1:12" x14ac:dyDescent="0.25">
      <c r="A77" s="2" t="s">
        <v>83</v>
      </c>
      <c r="B77" s="2" t="s">
        <v>161</v>
      </c>
      <c r="C77" s="21">
        <v>45684</v>
      </c>
      <c r="D77" s="2" t="s">
        <v>216</v>
      </c>
      <c r="E77" s="21">
        <v>45695</v>
      </c>
      <c r="F77" s="2">
        <v>11</v>
      </c>
      <c r="G77" s="2" t="s">
        <v>220</v>
      </c>
      <c r="H77" s="2" t="s">
        <v>168</v>
      </c>
      <c r="I77" s="2" t="s">
        <v>204</v>
      </c>
      <c r="J77" s="31">
        <v>49863</v>
      </c>
      <c r="K77" s="2" t="s">
        <v>208</v>
      </c>
      <c r="L77" s="2" t="s">
        <v>212</v>
      </c>
    </row>
    <row r="78" spans="1:12" x14ac:dyDescent="0.25">
      <c r="A78" s="1" t="s">
        <v>84</v>
      </c>
      <c r="B78" s="1" t="s">
        <v>158</v>
      </c>
      <c r="C78" s="20">
        <v>45730</v>
      </c>
      <c r="D78" s="1" t="s">
        <v>221</v>
      </c>
      <c r="E78" s="20">
        <v>45740</v>
      </c>
      <c r="F78" s="1">
        <v>10</v>
      </c>
      <c r="G78" s="1" t="s">
        <v>220</v>
      </c>
      <c r="H78" s="1" t="s">
        <v>174</v>
      </c>
      <c r="I78" s="1" t="s">
        <v>193</v>
      </c>
      <c r="J78" s="30">
        <v>41045</v>
      </c>
      <c r="K78" s="1" t="s">
        <v>207</v>
      </c>
      <c r="L78" s="1" t="s">
        <v>212</v>
      </c>
    </row>
    <row r="79" spans="1:12" x14ac:dyDescent="0.25">
      <c r="A79" s="2" t="s">
        <v>85</v>
      </c>
      <c r="B79" s="2" t="s">
        <v>160</v>
      </c>
      <c r="C79" s="21">
        <v>45688</v>
      </c>
      <c r="D79" s="2" t="s">
        <v>216</v>
      </c>
      <c r="E79" s="21">
        <v>45693</v>
      </c>
      <c r="F79" s="2">
        <v>5</v>
      </c>
      <c r="G79" s="2" t="s">
        <v>217</v>
      </c>
      <c r="H79" s="2" t="s">
        <v>188</v>
      </c>
      <c r="I79" s="2" t="s">
        <v>195</v>
      </c>
      <c r="J79" s="31">
        <v>36412</v>
      </c>
      <c r="K79" s="2" t="s">
        <v>207</v>
      </c>
      <c r="L79" s="2" t="s">
        <v>212</v>
      </c>
    </row>
    <row r="80" spans="1:12" x14ac:dyDescent="0.25">
      <c r="A80" s="1" t="s">
        <v>86</v>
      </c>
      <c r="B80" s="1" t="s">
        <v>164</v>
      </c>
      <c r="C80" s="20">
        <v>45724</v>
      </c>
      <c r="D80" s="1" t="s">
        <v>221</v>
      </c>
      <c r="E80" s="20">
        <v>45725</v>
      </c>
      <c r="F80" s="1">
        <v>1</v>
      </c>
      <c r="G80" s="1" t="s">
        <v>222</v>
      </c>
      <c r="H80" s="1" t="s">
        <v>189</v>
      </c>
      <c r="I80" s="1" t="s">
        <v>206</v>
      </c>
      <c r="J80" s="30">
        <v>41101</v>
      </c>
      <c r="K80" s="1" t="s">
        <v>207</v>
      </c>
      <c r="L80" s="1" t="s">
        <v>212</v>
      </c>
    </row>
    <row r="81" spans="1:12" x14ac:dyDescent="0.25">
      <c r="A81" s="2" t="s">
        <v>87</v>
      </c>
      <c r="B81" s="2" t="s">
        <v>160</v>
      </c>
      <c r="C81" s="21">
        <v>45744</v>
      </c>
      <c r="D81" s="2" t="s">
        <v>221</v>
      </c>
      <c r="E81" s="21">
        <v>45749</v>
      </c>
      <c r="F81" s="2">
        <v>5</v>
      </c>
      <c r="G81" s="2" t="s">
        <v>217</v>
      </c>
      <c r="H81" s="2" t="s">
        <v>188</v>
      </c>
      <c r="I81" s="2" t="s">
        <v>195</v>
      </c>
      <c r="J81" s="31">
        <v>16149</v>
      </c>
      <c r="K81" s="2" t="s">
        <v>207</v>
      </c>
      <c r="L81" s="2" t="s">
        <v>212</v>
      </c>
    </row>
    <row r="82" spans="1:12" x14ac:dyDescent="0.25">
      <c r="A82" s="1" t="s">
        <v>88</v>
      </c>
      <c r="B82" s="1" t="s">
        <v>160</v>
      </c>
      <c r="C82" s="20">
        <v>45663</v>
      </c>
      <c r="D82" s="1" t="s">
        <v>216</v>
      </c>
      <c r="E82" s="20">
        <v>45673</v>
      </c>
      <c r="F82" s="1">
        <v>10</v>
      </c>
      <c r="G82" s="1" t="s">
        <v>220</v>
      </c>
      <c r="H82" s="1" t="s">
        <v>188</v>
      </c>
      <c r="I82" s="1" t="s">
        <v>203</v>
      </c>
      <c r="J82" s="30">
        <v>37364</v>
      </c>
      <c r="K82" s="1" t="s">
        <v>207</v>
      </c>
      <c r="L82" s="1" t="s">
        <v>212</v>
      </c>
    </row>
    <row r="83" spans="1:12" x14ac:dyDescent="0.25">
      <c r="A83" s="2" t="s">
        <v>89</v>
      </c>
      <c r="B83" s="2" t="s">
        <v>164</v>
      </c>
      <c r="C83" s="21">
        <v>45665</v>
      </c>
      <c r="D83" s="2" t="s">
        <v>216</v>
      </c>
      <c r="E83" s="21">
        <v>45666</v>
      </c>
      <c r="F83" s="2">
        <v>1</v>
      </c>
      <c r="G83" s="2" t="s">
        <v>222</v>
      </c>
      <c r="H83" s="2" t="s">
        <v>187</v>
      </c>
      <c r="I83" s="2" t="s">
        <v>206</v>
      </c>
      <c r="J83" s="31">
        <v>44285</v>
      </c>
      <c r="K83" s="2" t="s">
        <v>208</v>
      </c>
      <c r="L83" s="2" t="s">
        <v>212</v>
      </c>
    </row>
    <row r="84" spans="1:12" x14ac:dyDescent="0.25">
      <c r="A84" s="1" t="s">
        <v>90</v>
      </c>
      <c r="B84" s="1" t="s">
        <v>159</v>
      </c>
      <c r="C84" s="20">
        <v>45695</v>
      </c>
      <c r="D84" s="1" t="s">
        <v>219</v>
      </c>
      <c r="E84" s="20">
        <v>45704</v>
      </c>
      <c r="F84" s="1">
        <v>9</v>
      </c>
      <c r="G84" s="1" t="s">
        <v>220</v>
      </c>
      <c r="H84" s="1" t="s">
        <v>179</v>
      </c>
      <c r="I84" s="1" t="s">
        <v>194</v>
      </c>
      <c r="J84" s="30">
        <v>57735</v>
      </c>
      <c r="K84" s="1" t="s">
        <v>207</v>
      </c>
      <c r="L84" s="1" t="s">
        <v>213</v>
      </c>
    </row>
    <row r="85" spans="1:12" x14ac:dyDescent="0.25">
      <c r="A85" s="2" t="s">
        <v>91</v>
      </c>
      <c r="B85" s="2" t="s">
        <v>160</v>
      </c>
      <c r="C85" s="21">
        <v>45726</v>
      </c>
      <c r="D85" s="2" t="s">
        <v>221</v>
      </c>
      <c r="E85" s="21">
        <v>45729</v>
      </c>
      <c r="F85" s="2">
        <v>3</v>
      </c>
      <c r="G85" s="2" t="s">
        <v>222</v>
      </c>
      <c r="H85" s="2" t="s">
        <v>167</v>
      </c>
      <c r="I85" s="2" t="s">
        <v>203</v>
      </c>
      <c r="J85" s="31">
        <v>33781</v>
      </c>
      <c r="K85" s="2" t="s">
        <v>207</v>
      </c>
      <c r="L85" s="2" t="s">
        <v>212</v>
      </c>
    </row>
    <row r="86" spans="1:12" x14ac:dyDescent="0.25">
      <c r="A86" s="1" t="s">
        <v>92</v>
      </c>
      <c r="B86" s="1" t="s">
        <v>160</v>
      </c>
      <c r="C86" s="20">
        <v>45689</v>
      </c>
      <c r="D86" s="1" t="s">
        <v>219</v>
      </c>
      <c r="E86" s="20">
        <v>45694</v>
      </c>
      <c r="F86" s="1">
        <v>5</v>
      </c>
      <c r="G86" s="1" t="s">
        <v>217</v>
      </c>
      <c r="H86" s="1" t="s">
        <v>170</v>
      </c>
      <c r="I86" s="1" t="s">
        <v>195</v>
      </c>
      <c r="J86" s="30">
        <v>30298</v>
      </c>
      <c r="K86" s="1" t="s">
        <v>207</v>
      </c>
      <c r="L86" s="1" t="s">
        <v>212</v>
      </c>
    </row>
    <row r="87" spans="1:12" x14ac:dyDescent="0.25">
      <c r="A87" s="2" t="s">
        <v>93</v>
      </c>
      <c r="B87" s="2" t="s">
        <v>159</v>
      </c>
      <c r="C87" s="21">
        <v>45660</v>
      </c>
      <c r="D87" s="2" t="s">
        <v>216</v>
      </c>
      <c r="E87" s="21">
        <v>45668</v>
      </c>
      <c r="F87" s="2">
        <v>8</v>
      </c>
      <c r="G87" s="2" t="s">
        <v>220</v>
      </c>
      <c r="H87" s="2" t="s">
        <v>179</v>
      </c>
      <c r="I87" s="2" t="s">
        <v>200</v>
      </c>
      <c r="J87" s="31">
        <v>33979</v>
      </c>
      <c r="K87" s="2" t="s">
        <v>207</v>
      </c>
      <c r="L87" s="2" t="s">
        <v>212</v>
      </c>
    </row>
    <row r="88" spans="1:12" x14ac:dyDescent="0.25">
      <c r="A88" s="1" t="s">
        <v>94</v>
      </c>
      <c r="B88" s="1" t="s">
        <v>159</v>
      </c>
      <c r="C88" s="20">
        <v>45725</v>
      </c>
      <c r="D88" s="1" t="s">
        <v>221</v>
      </c>
      <c r="E88" s="20">
        <v>45731</v>
      </c>
      <c r="F88" s="1">
        <v>6</v>
      </c>
      <c r="G88" s="1" t="s">
        <v>217</v>
      </c>
      <c r="H88" s="1" t="s">
        <v>192</v>
      </c>
      <c r="I88" s="1" t="s">
        <v>194</v>
      </c>
      <c r="J88" s="30">
        <v>50985</v>
      </c>
      <c r="K88" s="1" t="s">
        <v>207</v>
      </c>
      <c r="L88" s="1" t="s">
        <v>213</v>
      </c>
    </row>
    <row r="89" spans="1:12" x14ac:dyDescent="0.25">
      <c r="A89" s="2" t="s">
        <v>95</v>
      </c>
      <c r="B89" s="2" t="s">
        <v>163</v>
      </c>
      <c r="C89" s="21">
        <v>45701</v>
      </c>
      <c r="D89" s="2" t="s">
        <v>219</v>
      </c>
      <c r="E89" s="21">
        <v>45713</v>
      </c>
      <c r="F89" s="2">
        <v>12</v>
      </c>
      <c r="G89" s="2" t="s">
        <v>220</v>
      </c>
      <c r="H89" s="2" t="s">
        <v>182</v>
      </c>
      <c r="I89" s="2" t="s">
        <v>205</v>
      </c>
      <c r="J89" s="31">
        <v>43945</v>
      </c>
      <c r="K89" s="2" t="s">
        <v>207</v>
      </c>
      <c r="L89" s="2" t="s">
        <v>212</v>
      </c>
    </row>
    <row r="90" spans="1:12" x14ac:dyDescent="0.25">
      <c r="A90" s="1" t="s">
        <v>96</v>
      </c>
      <c r="B90" s="1" t="s">
        <v>159</v>
      </c>
      <c r="C90" s="20">
        <v>45747</v>
      </c>
      <c r="D90" s="1" t="s">
        <v>221</v>
      </c>
      <c r="E90" s="20">
        <v>45758</v>
      </c>
      <c r="F90" s="1">
        <v>11</v>
      </c>
      <c r="G90" s="1" t="s">
        <v>220</v>
      </c>
      <c r="H90" s="1" t="s">
        <v>192</v>
      </c>
      <c r="I90" s="1" t="s">
        <v>200</v>
      </c>
      <c r="J90" s="30">
        <v>33643</v>
      </c>
      <c r="K90" s="1" t="s">
        <v>207</v>
      </c>
      <c r="L90" s="1" t="s">
        <v>212</v>
      </c>
    </row>
    <row r="91" spans="1:12" x14ac:dyDescent="0.25">
      <c r="A91" s="2" t="s">
        <v>97</v>
      </c>
      <c r="B91" s="2" t="s">
        <v>160</v>
      </c>
      <c r="C91" s="21">
        <v>45677</v>
      </c>
      <c r="D91" s="2" t="s">
        <v>216</v>
      </c>
      <c r="E91" s="21">
        <v>45690</v>
      </c>
      <c r="F91" s="2">
        <v>13</v>
      </c>
      <c r="G91" s="2" t="s">
        <v>220</v>
      </c>
      <c r="H91" s="2" t="s">
        <v>188</v>
      </c>
      <c r="I91" s="2" t="s">
        <v>195</v>
      </c>
      <c r="J91" s="31">
        <v>46159</v>
      </c>
      <c r="K91" s="2" t="s">
        <v>207</v>
      </c>
      <c r="L91" s="2" t="s">
        <v>212</v>
      </c>
    </row>
    <row r="92" spans="1:12" x14ac:dyDescent="0.25">
      <c r="A92" s="1" t="s">
        <v>98</v>
      </c>
      <c r="B92" s="1" t="s">
        <v>163</v>
      </c>
      <c r="C92" s="20">
        <v>45704</v>
      </c>
      <c r="D92" s="1" t="s">
        <v>219</v>
      </c>
      <c r="E92" s="20"/>
      <c r="F92" s="1"/>
      <c r="G92" s="1" t="s">
        <v>218</v>
      </c>
      <c r="H92" s="1" t="s">
        <v>182</v>
      </c>
      <c r="I92" s="1" t="s">
        <v>199</v>
      </c>
      <c r="J92" s="30">
        <v>41165</v>
      </c>
      <c r="K92" s="1" t="s">
        <v>207</v>
      </c>
      <c r="L92" s="1" t="s">
        <v>212</v>
      </c>
    </row>
    <row r="93" spans="1:12" x14ac:dyDescent="0.25">
      <c r="A93" s="2" t="s">
        <v>99</v>
      </c>
      <c r="B93" s="2" t="s">
        <v>164</v>
      </c>
      <c r="C93" s="21">
        <v>45713</v>
      </c>
      <c r="D93" s="2" t="s">
        <v>219</v>
      </c>
      <c r="E93" s="21">
        <v>45717</v>
      </c>
      <c r="F93" s="2">
        <v>4</v>
      </c>
      <c r="G93" s="2" t="s">
        <v>217</v>
      </c>
      <c r="H93" s="2" t="s">
        <v>187</v>
      </c>
      <c r="I93" s="2" t="s">
        <v>206</v>
      </c>
      <c r="J93" s="31">
        <v>51624</v>
      </c>
      <c r="K93" s="2" t="s">
        <v>207</v>
      </c>
      <c r="L93" s="2" t="s">
        <v>213</v>
      </c>
    </row>
    <row r="94" spans="1:12" x14ac:dyDescent="0.25">
      <c r="A94" s="1" t="s">
        <v>100</v>
      </c>
      <c r="B94" s="1" t="s">
        <v>159</v>
      </c>
      <c r="C94" s="20">
        <v>45683</v>
      </c>
      <c r="D94" s="1" t="s">
        <v>216</v>
      </c>
      <c r="E94" s="20">
        <v>45690</v>
      </c>
      <c r="F94" s="1">
        <v>7</v>
      </c>
      <c r="G94" s="1" t="s">
        <v>217</v>
      </c>
      <c r="H94" s="1" t="s">
        <v>192</v>
      </c>
      <c r="I94" s="1" t="s">
        <v>200</v>
      </c>
      <c r="J94" s="30">
        <v>31575</v>
      </c>
      <c r="K94" s="1" t="s">
        <v>207</v>
      </c>
      <c r="L94" s="1" t="s">
        <v>212</v>
      </c>
    </row>
    <row r="95" spans="1:12" x14ac:dyDescent="0.25">
      <c r="A95" s="2" t="s">
        <v>101</v>
      </c>
      <c r="B95" s="2" t="s">
        <v>160</v>
      </c>
      <c r="C95" s="21">
        <v>45688</v>
      </c>
      <c r="D95" s="2" t="s">
        <v>216</v>
      </c>
      <c r="E95" s="21">
        <v>45701</v>
      </c>
      <c r="F95" s="2">
        <v>13</v>
      </c>
      <c r="G95" s="2" t="s">
        <v>220</v>
      </c>
      <c r="H95" s="2" t="s">
        <v>178</v>
      </c>
      <c r="I95" s="2" t="s">
        <v>203</v>
      </c>
      <c r="J95" s="31">
        <v>36068</v>
      </c>
      <c r="K95" s="2" t="s">
        <v>208</v>
      </c>
      <c r="L95" s="2" t="s">
        <v>212</v>
      </c>
    </row>
    <row r="96" spans="1:12" x14ac:dyDescent="0.25">
      <c r="A96" s="1" t="s">
        <v>102</v>
      </c>
      <c r="B96" s="1" t="s">
        <v>159</v>
      </c>
      <c r="C96" s="20">
        <v>45732</v>
      </c>
      <c r="D96" s="1" t="s">
        <v>221</v>
      </c>
      <c r="E96" s="20">
        <v>45741</v>
      </c>
      <c r="F96" s="1">
        <v>9</v>
      </c>
      <c r="G96" s="1" t="s">
        <v>220</v>
      </c>
      <c r="H96" s="1" t="s">
        <v>173</v>
      </c>
      <c r="I96" s="1" t="s">
        <v>200</v>
      </c>
      <c r="J96" s="30">
        <v>35295</v>
      </c>
      <c r="K96" s="1" t="s">
        <v>207</v>
      </c>
      <c r="L96" s="1" t="s">
        <v>212</v>
      </c>
    </row>
    <row r="97" spans="1:12" x14ac:dyDescent="0.25">
      <c r="A97" s="2" t="s">
        <v>103</v>
      </c>
      <c r="B97" s="2" t="s">
        <v>161</v>
      </c>
      <c r="C97" s="21">
        <v>45679</v>
      </c>
      <c r="D97" s="2" t="s">
        <v>216</v>
      </c>
      <c r="E97" s="21">
        <v>45687</v>
      </c>
      <c r="F97" s="2">
        <v>8</v>
      </c>
      <c r="G97" s="2" t="s">
        <v>220</v>
      </c>
      <c r="H97" s="2" t="s">
        <v>191</v>
      </c>
      <c r="I97" s="2" t="s">
        <v>196</v>
      </c>
      <c r="J97" s="31">
        <v>22438</v>
      </c>
      <c r="K97" s="2" t="s">
        <v>207</v>
      </c>
      <c r="L97" s="2" t="s">
        <v>212</v>
      </c>
    </row>
    <row r="98" spans="1:12" x14ac:dyDescent="0.25">
      <c r="A98" s="1" t="s">
        <v>104</v>
      </c>
      <c r="B98" s="1" t="s">
        <v>160</v>
      </c>
      <c r="C98" s="20">
        <v>45665</v>
      </c>
      <c r="D98" s="1" t="s">
        <v>216</v>
      </c>
      <c r="E98" s="20"/>
      <c r="F98" s="1"/>
      <c r="G98" s="1" t="s">
        <v>218</v>
      </c>
      <c r="H98" s="1" t="s">
        <v>170</v>
      </c>
      <c r="I98" s="1" t="s">
        <v>203</v>
      </c>
      <c r="J98" s="30">
        <v>43553</v>
      </c>
      <c r="K98" s="1" t="s">
        <v>207</v>
      </c>
      <c r="L98" s="1" t="s">
        <v>212</v>
      </c>
    </row>
    <row r="99" spans="1:12" x14ac:dyDescent="0.25">
      <c r="A99" s="2" t="s">
        <v>105</v>
      </c>
      <c r="B99" s="2" t="s">
        <v>164</v>
      </c>
      <c r="C99" s="21">
        <v>45663</v>
      </c>
      <c r="D99" s="2" t="s">
        <v>216</v>
      </c>
      <c r="E99" s="21">
        <v>45664</v>
      </c>
      <c r="F99" s="2">
        <v>1</v>
      </c>
      <c r="G99" s="2" t="s">
        <v>222</v>
      </c>
      <c r="H99" s="2" t="s">
        <v>180</v>
      </c>
      <c r="I99" s="2" t="s">
        <v>206</v>
      </c>
      <c r="J99" s="31">
        <v>43133</v>
      </c>
      <c r="K99" s="2" t="s">
        <v>207</v>
      </c>
      <c r="L99" s="2" t="s">
        <v>212</v>
      </c>
    </row>
    <row r="100" spans="1:12" x14ac:dyDescent="0.25">
      <c r="A100" s="1" t="s">
        <v>106</v>
      </c>
      <c r="B100" s="1" t="s">
        <v>160</v>
      </c>
      <c r="C100" s="20">
        <v>45667</v>
      </c>
      <c r="D100" s="1" t="s">
        <v>216</v>
      </c>
      <c r="E100" s="20">
        <v>45679</v>
      </c>
      <c r="F100" s="1">
        <v>12</v>
      </c>
      <c r="G100" s="1" t="s">
        <v>220</v>
      </c>
      <c r="H100" s="1" t="s">
        <v>188</v>
      </c>
      <c r="I100" s="1" t="s">
        <v>203</v>
      </c>
      <c r="J100" s="30">
        <v>40061</v>
      </c>
      <c r="K100" s="1" t="s">
        <v>207</v>
      </c>
      <c r="L100" s="1" t="s">
        <v>212</v>
      </c>
    </row>
    <row r="101" spans="1:12" x14ac:dyDescent="0.25">
      <c r="A101" s="2" t="s">
        <v>107</v>
      </c>
      <c r="B101" s="2" t="s">
        <v>163</v>
      </c>
      <c r="C101" s="21">
        <v>45673</v>
      </c>
      <c r="D101" s="2" t="s">
        <v>216</v>
      </c>
      <c r="E101" s="21">
        <v>45684</v>
      </c>
      <c r="F101" s="2">
        <v>11</v>
      </c>
      <c r="G101" s="2" t="s">
        <v>220</v>
      </c>
      <c r="H101" s="2" t="s">
        <v>177</v>
      </c>
      <c r="I101" s="2" t="s">
        <v>205</v>
      </c>
      <c r="J101" s="31">
        <v>37185</v>
      </c>
      <c r="K101" s="2" t="s">
        <v>208</v>
      </c>
      <c r="L101" s="2" t="s">
        <v>212</v>
      </c>
    </row>
    <row r="102" spans="1:12" x14ac:dyDescent="0.25">
      <c r="A102" s="1" t="s">
        <v>108</v>
      </c>
      <c r="B102" s="1" t="s">
        <v>160</v>
      </c>
      <c r="C102" s="20">
        <v>45713</v>
      </c>
      <c r="D102" s="1" t="s">
        <v>219</v>
      </c>
      <c r="E102" s="20">
        <v>45722</v>
      </c>
      <c r="F102" s="1">
        <v>9</v>
      </c>
      <c r="G102" s="1" t="s">
        <v>220</v>
      </c>
      <c r="H102" s="1" t="s">
        <v>188</v>
      </c>
      <c r="I102" s="1" t="s">
        <v>195</v>
      </c>
      <c r="J102" s="30">
        <v>23016</v>
      </c>
      <c r="K102" s="1" t="s">
        <v>209</v>
      </c>
      <c r="L102" s="1" t="s">
        <v>212</v>
      </c>
    </row>
    <row r="103" spans="1:12" x14ac:dyDescent="0.25">
      <c r="A103" s="2" t="s">
        <v>109</v>
      </c>
      <c r="B103" s="2" t="s">
        <v>160</v>
      </c>
      <c r="C103" s="21">
        <v>45727</v>
      </c>
      <c r="D103" s="2" t="s">
        <v>221</v>
      </c>
      <c r="E103" s="21">
        <v>45730</v>
      </c>
      <c r="F103" s="2">
        <v>3</v>
      </c>
      <c r="G103" s="2" t="s">
        <v>222</v>
      </c>
      <c r="H103" s="2" t="s">
        <v>178</v>
      </c>
      <c r="I103" s="2" t="s">
        <v>195</v>
      </c>
      <c r="J103" s="31">
        <v>34952</v>
      </c>
      <c r="K103" s="2" t="s">
        <v>207</v>
      </c>
      <c r="L103" s="2" t="s">
        <v>212</v>
      </c>
    </row>
    <row r="104" spans="1:12" x14ac:dyDescent="0.25">
      <c r="A104" s="1" t="s">
        <v>110</v>
      </c>
      <c r="B104" s="1" t="s">
        <v>159</v>
      </c>
      <c r="C104" s="20">
        <v>45659</v>
      </c>
      <c r="D104" s="1" t="s">
        <v>216</v>
      </c>
      <c r="E104" s="20">
        <v>45669</v>
      </c>
      <c r="F104" s="1">
        <v>10</v>
      </c>
      <c r="G104" s="1" t="s">
        <v>220</v>
      </c>
      <c r="H104" s="1" t="s">
        <v>173</v>
      </c>
      <c r="I104" s="1" t="s">
        <v>200</v>
      </c>
      <c r="J104" s="30">
        <v>35887</v>
      </c>
      <c r="K104" s="1" t="s">
        <v>207</v>
      </c>
      <c r="L104" s="1" t="s">
        <v>212</v>
      </c>
    </row>
    <row r="105" spans="1:12" x14ac:dyDescent="0.25">
      <c r="A105" s="2" t="s">
        <v>111</v>
      </c>
      <c r="B105" s="2" t="s">
        <v>162</v>
      </c>
      <c r="C105" s="21">
        <v>45717</v>
      </c>
      <c r="D105" s="2" t="s">
        <v>221</v>
      </c>
      <c r="E105" s="21">
        <v>45718</v>
      </c>
      <c r="F105" s="2">
        <v>1</v>
      </c>
      <c r="G105" s="2" t="s">
        <v>222</v>
      </c>
      <c r="H105" s="2" t="s">
        <v>171</v>
      </c>
      <c r="I105" s="2" t="s">
        <v>197</v>
      </c>
      <c r="J105" s="31">
        <v>30373</v>
      </c>
      <c r="K105" s="2" t="s">
        <v>207</v>
      </c>
      <c r="L105" s="2" t="s">
        <v>212</v>
      </c>
    </row>
    <row r="106" spans="1:12" x14ac:dyDescent="0.25">
      <c r="A106" s="1" t="s">
        <v>112</v>
      </c>
      <c r="B106" s="1" t="s">
        <v>164</v>
      </c>
      <c r="C106" s="20">
        <v>45728</v>
      </c>
      <c r="D106" s="1" t="s">
        <v>221</v>
      </c>
      <c r="E106" s="20">
        <v>45729</v>
      </c>
      <c r="F106" s="1">
        <v>1</v>
      </c>
      <c r="G106" s="1" t="s">
        <v>222</v>
      </c>
      <c r="H106" s="1" t="s">
        <v>189</v>
      </c>
      <c r="I106" s="1" t="s">
        <v>201</v>
      </c>
      <c r="J106" s="30">
        <v>38065</v>
      </c>
      <c r="K106" s="1" t="s">
        <v>207</v>
      </c>
      <c r="L106" s="1" t="s">
        <v>212</v>
      </c>
    </row>
    <row r="107" spans="1:12" x14ac:dyDescent="0.25">
      <c r="A107" s="2" t="s">
        <v>113</v>
      </c>
      <c r="B107" s="2" t="s">
        <v>162</v>
      </c>
      <c r="C107" s="21">
        <v>45712</v>
      </c>
      <c r="D107" s="2" t="s">
        <v>219</v>
      </c>
      <c r="E107" s="21">
        <v>45724</v>
      </c>
      <c r="F107" s="2">
        <v>12</v>
      </c>
      <c r="G107" s="2" t="s">
        <v>220</v>
      </c>
      <c r="H107" s="2" t="s">
        <v>181</v>
      </c>
      <c r="I107" s="2" t="s">
        <v>197</v>
      </c>
      <c r="J107" s="31">
        <v>44849</v>
      </c>
      <c r="K107" s="2" t="s">
        <v>207</v>
      </c>
      <c r="L107" s="2" t="s">
        <v>212</v>
      </c>
    </row>
    <row r="108" spans="1:12" x14ac:dyDescent="0.25">
      <c r="A108" s="1" t="s">
        <v>114</v>
      </c>
      <c r="B108" s="1" t="s">
        <v>160</v>
      </c>
      <c r="C108" s="20">
        <v>45701</v>
      </c>
      <c r="D108" s="1" t="s">
        <v>219</v>
      </c>
      <c r="E108" s="20">
        <v>45712</v>
      </c>
      <c r="F108" s="1">
        <v>11</v>
      </c>
      <c r="G108" s="1" t="s">
        <v>220</v>
      </c>
      <c r="H108" s="1" t="s">
        <v>178</v>
      </c>
      <c r="I108" s="1" t="s">
        <v>195</v>
      </c>
      <c r="J108" s="30">
        <v>62634</v>
      </c>
      <c r="K108" s="1" t="s">
        <v>207</v>
      </c>
      <c r="L108" s="1" t="s">
        <v>213</v>
      </c>
    </row>
    <row r="109" spans="1:12" x14ac:dyDescent="0.25">
      <c r="A109" s="2" t="s">
        <v>115</v>
      </c>
      <c r="B109" s="2" t="s">
        <v>164</v>
      </c>
      <c r="C109" s="21">
        <v>45714</v>
      </c>
      <c r="D109" s="2" t="s">
        <v>219</v>
      </c>
      <c r="E109" s="21">
        <v>45723</v>
      </c>
      <c r="F109" s="2">
        <v>9</v>
      </c>
      <c r="G109" s="2" t="s">
        <v>220</v>
      </c>
      <c r="H109" s="2" t="s">
        <v>180</v>
      </c>
      <c r="I109" s="2" t="s">
        <v>206</v>
      </c>
      <c r="J109" s="31">
        <v>42095</v>
      </c>
      <c r="K109" s="2" t="s">
        <v>207</v>
      </c>
      <c r="L109" s="2" t="s">
        <v>212</v>
      </c>
    </row>
    <row r="110" spans="1:12" x14ac:dyDescent="0.25">
      <c r="A110" s="1" t="s">
        <v>116</v>
      </c>
      <c r="B110" s="1" t="s">
        <v>162</v>
      </c>
      <c r="C110" s="20">
        <v>45709</v>
      </c>
      <c r="D110" s="1" t="s">
        <v>219</v>
      </c>
      <c r="E110" s="20">
        <v>45717</v>
      </c>
      <c r="F110" s="1">
        <v>8</v>
      </c>
      <c r="G110" s="1" t="s">
        <v>220</v>
      </c>
      <c r="H110" s="1" t="s">
        <v>183</v>
      </c>
      <c r="I110" s="1" t="s">
        <v>197</v>
      </c>
      <c r="J110" s="30">
        <v>43091</v>
      </c>
      <c r="K110" s="1" t="s">
        <v>207</v>
      </c>
      <c r="L110" s="1" t="s">
        <v>212</v>
      </c>
    </row>
    <row r="111" spans="1:12" x14ac:dyDescent="0.25">
      <c r="A111" s="2" t="s">
        <v>117</v>
      </c>
      <c r="B111" s="2" t="s">
        <v>162</v>
      </c>
      <c r="C111" s="21">
        <v>45663</v>
      </c>
      <c r="D111" s="2" t="s">
        <v>216</v>
      </c>
      <c r="E111" s="21">
        <v>45676</v>
      </c>
      <c r="F111" s="2">
        <v>13</v>
      </c>
      <c r="G111" s="2" t="s">
        <v>220</v>
      </c>
      <c r="H111" s="2" t="s">
        <v>183</v>
      </c>
      <c r="I111" s="2" t="s">
        <v>197</v>
      </c>
      <c r="J111" s="31">
        <v>39107</v>
      </c>
      <c r="K111" s="2" t="s">
        <v>207</v>
      </c>
      <c r="L111" s="2" t="s">
        <v>212</v>
      </c>
    </row>
    <row r="112" spans="1:12" x14ac:dyDescent="0.25">
      <c r="A112" s="1" t="s">
        <v>118</v>
      </c>
      <c r="B112" s="1" t="s">
        <v>162</v>
      </c>
      <c r="C112" s="20">
        <v>45687</v>
      </c>
      <c r="D112" s="1" t="s">
        <v>216</v>
      </c>
      <c r="E112" s="20"/>
      <c r="F112" s="1"/>
      <c r="G112" s="1" t="s">
        <v>218</v>
      </c>
      <c r="H112" s="1" t="s">
        <v>190</v>
      </c>
      <c r="I112" s="1" t="s">
        <v>197</v>
      </c>
      <c r="J112" s="30">
        <v>16975</v>
      </c>
      <c r="K112" s="1" t="s">
        <v>207</v>
      </c>
      <c r="L112" s="1" t="s">
        <v>212</v>
      </c>
    </row>
    <row r="113" spans="1:12" x14ac:dyDescent="0.25">
      <c r="A113" s="2" t="s">
        <v>119</v>
      </c>
      <c r="B113" s="2" t="s">
        <v>162</v>
      </c>
      <c r="C113" s="21">
        <v>45729</v>
      </c>
      <c r="D113" s="2" t="s">
        <v>221</v>
      </c>
      <c r="E113" s="21">
        <v>45736</v>
      </c>
      <c r="F113" s="2">
        <v>7</v>
      </c>
      <c r="G113" s="2" t="s">
        <v>217</v>
      </c>
      <c r="H113" s="2" t="s">
        <v>183</v>
      </c>
      <c r="I113" s="2" t="s">
        <v>197</v>
      </c>
      <c r="J113" s="31">
        <v>39682</v>
      </c>
      <c r="K113" s="2" t="s">
        <v>207</v>
      </c>
      <c r="L113" s="2" t="s">
        <v>212</v>
      </c>
    </row>
    <row r="114" spans="1:12" x14ac:dyDescent="0.25">
      <c r="A114" s="1" t="s">
        <v>120</v>
      </c>
      <c r="B114" s="1" t="s">
        <v>158</v>
      </c>
      <c r="C114" s="20">
        <v>45710</v>
      </c>
      <c r="D114" s="1" t="s">
        <v>219</v>
      </c>
      <c r="E114" s="20">
        <v>45714</v>
      </c>
      <c r="F114" s="1">
        <v>4</v>
      </c>
      <c r="G114" s="1" t="s">
        <v>217</v>
      </c>
      <c r="H114" s="1" t="s">
        <v>184</v>
      </c>
      <c r="I114" s="1" t="s">
        <v>198</v>
      </c>
      <c r="J114" s="30">
        <v>40723</v>
      </c>
      <c r="K114" s="1" t="s">
        <v>207</v>
      </c>
      <c r="L114" s="1" t="s">
        <v>212</v>
      </c>
    </row>
    <row r="115" spans="1:12" x14ac:dyDescent="0.25">
      <c r="A115" s="2" t="s">
        <v>121</v>
      </c>
      <c r="B115" s="2" t="s">
        <v>163</v>
      </c>
      <c r="C115" s="21">
        <v>45745</v>
      </c>
      <c r="D115" s="2" t="s">
        <v>221</v>
      </c>
      <c r="E115" s="21">
        <v>45756</v>
      </c>
      <c r="F115" s="2">
        <v>11</v>
      </c>
      <c r="G115" s="2" t="s">
        <v>220</v>
      </c>
      <c r="H115" s="2" t="s">
        <v>182</v>
      </c>
      <c r="I115" s="2" t="s">
        <v>205</v>
      </c>
      <c r="J115" s="31">
        <v>69559</v>
      </c>
      <c r="K115" s="2" t="s">
        <v>207</v>
      </c>
      <c r="L115" s="2" t="s">
        <v>213</v>
      </c>
    </row>
    <row r="116" spans="1:12" x14ac:dyDescent="0.25">
      <c r="A116" s="1" t="s">
        <v>122</v>
      </c>
      <c r="B116" s="1" t="s">
        <v>163</v>
      </c>
      <c r="C116" s="20">
        <v>45688</v>
      </c>
      <c r="D116" s="1" t="s">
        <v>216</v>
      </c>
      <c r="E116" s="20">
        <v>45698</v>
      </c>
      <c r="F116" s="1">
        <v>10</v>
      </c>
      <c r="G116" s="1" t="s">
        <v>220</v>
      </c>
      <c r="H116" s="1" t="s">
        <v>182</v>
      </c>
      <c r="I116" s="1" t="s">
        <v>199</v>
      </c>
      <c r="J116" s="30">
        <v>37692</v>
      </c>
      <c r="K116" s="1" t="s">
        <v>207</v>
      </c>
      <c r="L116" s="1" t="s">
        <v>212</v>
      </c>
    </row>
    <row r="117" spans="1:12" x14ac:dyDescent="0.25">
      <c r="A117" s="2" t="s">
        <v>123</v>
      </c>
      <c r="B117" s="2" t="s">
        <v>162</v>
      </c>
      <c r="C117" s="21">
        <v>45733</v>
      </c>
      <c r="D117" s="2" t="s">
        <v>221</v>
      </c>
      <c r="E117" s="21">
        <v>45747</v>
      </c>
      <c r="F117" s="2">
        <v>14</v>
      </c>
      <c r="G117" s="2" t="s">
        <v>220</v>
      </c>
      <c r="H117" s="2" t="s">
        <v>171</v>
      </c>
      <c r="I117" s="2" t="s">
        <v>197</v>
      </c>
      <c r="J117" s="31">
        <v>43619</v>
      </c>
      <c r="K117" s="2" t="s">
        <v>207</v>
      </c>
      <c r="L117" s="2" t="s">
        <v>212</v>
      </c>
    </row>
    <row r="118" spans="1:12" x14ac:dyDescent="0.25">
      <c r="A118" s="1" t="s">
        <v>124</v>
      </c>
      <c r="B118" s="1" t="s">
        <v>163</v>
      </c>
      <c r="C118" s="20">
        <v>45697</v>
      </c>
      <c r="D118" s="1" t="s">
        <v>219</v>
      </c>
      <c r="E118" s="20">
        <v>45700</v>
      </c>
      <c r="F118" s="1">
        <v>3</v>
      </c>
      <c r="G118" s="1" t="s">
        <v>222</v>
      </c>
      <c r="H118" s="1" t="s">
        <v>186</v>
      </c>
      <c r="I118" s="1" t="s">
        <v>199</v>
      </c>
      <c r="J118" s="30">
        <v>39583</v>
      </c>
      <c r="K118" s="1" t="s">
        <v>207</v>
      </c>
      <c r="L118" s="1" t="s">
        <v>212</v>
      </c>
    </row>
    <row r="119" spans="1:12" x14ac:dyDescent="0.25">
      <c r="A119" s="2" t="s">
        <v>125</v>
      </c>
      <c r="B119" s="2" t="s">
        <v>160</v>
      </c>
      <c r="C119" s="21">
        <v>45739</v>
      </c>
      <c r="D119" s="2" t="s">
        <v>221</v>
      </c>
      <c r="E119" s="21">
        <v>45742</v>
      </c>
      <c r="F119" s="2">
        <v>3</v>
      </c>
      <c r="G119" s="2" t="s">
        <v>222</v>
      </c>
      <c r="H119" s="2" t="s">
        <v>167</v>
      </c>
      <c r="I119" s="2" t="s">
        <v>203</v>
      </c>
      <c r="J119" s="31">
        <v>25976</v>
      </c>
      <c r="K119" s="2" t="s">
        <v>207</v>
      </c>
      <c r="L119" s="2" t="s">
        <v>212</v>
      </c>
    </row>
    <row r="120" spans="1:12" x14ac:dyDescent="0.25">
      <c r="A120" s="1" t="s">
        <v>126</v>
      </c>
      <c r="B120" s="1" t="s">
        <v>159</v>
      </c>
      <c r="C120" s="20">
        <v>45723</v>
      </c>
      <c r="D120" s="1" t="s">
        <v>221</v>
      </c>
      <c r="E120" s="20">
        <v>45735</v>
      </c>
      <c r="F120" s="1">
        <v>12</v>
      </c>
      <c r="G120" s="1" t="s">
        <v>220</v>
      </c>
      <c r="H120" s="1" t="s">
        <v>179</v>
      </c>
      <c r="I120" s="1" t="s">
        <v>200</v>
      </c>
      <c r="J120" s="30">
        <v>53714</v>
      </c>
      <c r="K120" s="1" t="s">
        <v>207</v>
      </c>
      <c r="L120" s="1" t="s">
        <v>213</v>
      </c>
    </row>
    <row r="121" spans="1:12" x14ac:dyDescent="0.25">
      <c r="A121" s="2" t="s">
        <v>127</v>
      </c>
      <c r="B121" s="2" t="s">
        <v>162</v>
      </c>
      <c r="C121" s="21">
        <v>45705</v>
      </c>
      <c r="D121" s="2" t="s">
        <v>219</v>
      </c>
      <c r="E121" s="21">
        <v>45710</v>
      </c>
      <c r="F121" s="2">
        <v>5</v>
      </c>
      <c r="G121" s="2" t="s">
        <v>217</v>
      </c>
      <c r="H121" s="2" t="s">
        <v>190</v>
      </c>
      <c r="I121" s="2" t="s">
        <v>202</v>
      </c>
      <c r="J121" s="31">
        <v>49023</v>
      </c>
      <c r="K121" s="2" t="s">
        <v>207</v>
      </c>
      <c r="L121" s="2" t="s">
        <v>212</v>
      </c>
    </row>
    <row r="122" spans="1:12" x14ac:dyDescent="0.25">
      <c r="A122" s="1" t="s">
        <v>128</v>
      </c>
      <c r="B122" s="1" t="s">
        <v>158</v>
      </c>
      <c r="C122" s="20">
        <v>45658</v>
      </c>
      <c r="D122" s="1" t="s">
        <v>216</v>
      </c>
      <c r="E122" s="20">
        <v>45672</v>
      </c>
      <c r="F122" s="1">
        <v>14</v>
      </c>
      <c r="G122" s="1" t="s">
        <v>220</v>
      </c>
      <c r="H122" s="1" t="s">
        <v>165</v>
      </c>
      <c r="I122" s="1" t="s">
        <v>198</v>
      </c>
      <c r="J122" s="30">
        <v>49492</v>
      </c>
      <c r="K122" s="1" t="s">
        <v>207</v>
      </c>
      <c r="L122" s="1" t="s">
        <v>212</v>
      </c>
    </row>
    <row r="123" spans="1:12" x14ac:dyDescent="0.25">
      <c r="A123" s="2" t="s">
        <v>129</v>
      </c>
      <c r="B123" s="2" t="s">
        <v>158</v>
      </c>
      <c r="C123" s="21">
        <v>45707</v>
      </c>
      <c r="D123" s="2" t="s">
        <v>219</v>
      </c>
      <c r="E123" s="21">
        <v>45710</v>
      </c>
      <c r="F123" s="2">
        <v>3</v>
      </c>
      <c r="G123" s="2" t="s">
        <v>222</v>
      </c>
      <c r="H123" s="2" t="s">
        <v>165</v>
      </c>
      <c r="I123" s="2" t="s">
        <v>193</v>
      </c>
      <c r="J123" s="31">
        <v>29087</v>
      </c>
      <c r="K123" s="2" t="s">
        <v>207</v>
      </c>
      <c r="L123" s="2" t="s">
        <v>212</v>
      </c>
    </row>
    <row r="124" spans="1:12" x14ac:dyDescent="0.25">
      <c r="A124" s="1" t="s">
        <v>130</v>
      </c>
      <c r="B124" s="1" t="s">
        <v>159</v>
      </c>
      <c r="C124" s="20">
        <v>45720</v>
      </c>
      <c r="D124" s="1" t="s">
        <v>221</v>
      </c>
      <c r="E124" s="20">
        <v>45724</v>
      </c>
      <c r="F124" s="1">
        <v>4</v>
      </c>
      <c r="G124" s="1" t="s">
        <v>217</v>
      </c>
      <c r="H124" s="1" t="s">
        <v>173</v>
      </c>
      <c r="I124" s="1" t="s">
        <v>200</v>
      </c>
      <c r="J124" s="30">
        <v>56834</v>
      </c>
      <c r="K124" s="1" t="s">
        <v>207</v>
      </c>
      <c r="L124" s="1" t="s">
        <v>213</v>
      </c>
    </row>
    <row r="125" spans="1:12" x14ac:dyDescent="0.25">
      <c r="A125" s="2" t="s">
        <v>131</v>
      </c>
      <c r="B125" s="2" t="s">
        <v>161</v>
      </c>
      <c r="C125" s="21">
        <v>45740</v>
      </c>
      <c r="D125" s="2" t="s">
        <v>221</v>
      </c>
      <c r="E125" s="21"/>
      <c r="F125" s="2"/>
      <c r="G125" s="2" t="s">
        <v>218</v>
      </c>
      <c r="H125" s="2" t="s">
        <v>191</v>
      </c>
      <c r="I125" s="2" t="s">
        <v>204</v>
      </c>
      <c r="J125" s="31">
        <v>23178</v>
      </c>
      <c r="K125" s="2" t="s">
        <v>207</v>
      </c>
      <c r="L125" s="2" t="s">
        <v>212</v>
      </c>
    </row>
    <row r="126" spans="1:12" x14ac:dyDescent="0.25">
      <c r="A126" s="1" t="s">
        <v>132</v>
      </c>
      <c r="B126" s="1" t="s">
        <v>162</v>
      </c>
      <c r="C126" s="20">
        <v>45689</v>
      </c>
      <c r="D126" s="1" t="s">
        <v>219</v>
      </c>
      <c r="E126" s="20">
        <v>45694</v>
      </c>
      <c r="F126" s="1">
        <v>5</v>
      </c>
      <c r="G126" s="1" t="s">
        <v>217</v>
      </c>
      <c r="H126" s="1" t="s">
        <v>181</v>
      </c>
      <c r="I126" s="1" t="s">
        <v>197</v>
      </c>
      <c r="J126" s="30">
        <v>47042</v>
      </c>
      <c r="K126" s="1" t="s">
        <v>207</v>
      </c>
      <c r="L126" s="1" t="s">
        <v>212</v>
      </c>
    </row>
    <row r="127" spans="1:12" ht="17.25" customHeight="1" x14ac:dyDescent="0.25">
      <c r="A127" s="2" t="s">
        <v>133</v>
      </c>
      <c r="B127" s="2" t="s">
        <v>159</v>
      </c>
      <c r="C127" s="21">
        <v>45711</v>
      </c>
      <c r="D127" s="2" t="s">
        <v>219</v>
      </c>
      <c r="E127" s="21">
        <v>45714</v>
      </c>
      <c r="F127" s="2">
        <v>3</v>
      </c>
      <c r="G127" s="2" t="s">
        <v>222</v>
      </c>
      <c r="H127" s="2" t="s">
        <v>192</v>
      </c>
      <c r="I127" s="2" t="s">
        <v>194</v>
      </c>
      <c r="J127" s="31">
        <v>66285</v>
      </c>
      <c r="K127" s="2" t="s">
        <v>207</v>
      </c>
      <c r="L127" s="2" t="s">
        <v>213</v>
      </c>
    </row>
    <row r="128" spans="1:12" ht="19.5" customHeight="1" x14ac:dyDescent="0.25">
      <c r="A128" s="1" t="s">
        <v>134</v>
      </c>
      <c r="B128" s="1" t="s">
        <v>163</v>
      </c>
      <c r="C128" s="20">
        <v>45686</v>
      </c>
      <c r="D128" s="1" t="s">
        <v>216</v>
      </c>
      <c r="E128" s="20">
        <v>45687</v>
      </c>
      <c r="F128" s="1">
        <v>1</v>
      </c>
      <c r="G128" s="1" t="s">
        <v>222</v>
      </c>
      <c r="H128" s="1" t="s">
        <v>186</v>
      </c>
      <c r="I128" s="1" t="s">
        <v>199</v>
      </c>
      <c r="J128" s="30">
        <v>28114</v>
      </c>
      <c r="K128" s="1" t="s">
        <v>207</v>
      </c>
      <c r="L128" s="1" t="s">
        <v>212</v>
      </c>
    </row>
    <row r="129" spans="1:12" ht="19.5" customHeight="1" x14ac:dyDescent="0.25">
      <c r="A129" s="2" t="s">
        <v>135</v>
      </c>
      <c r="B129" s="2" t="s">
        <v>161</v>
      </c>
      <c r="C129" s="21">
        <v>45713</v>
      </c>
      <c r="D129" s="2" t="s">
        <v>219</v>
      </c>
      <c r="E129" s="21">
        <v>45720</v>
      </c>
      <c r="F129" s="2">
        <v>7</v>
      </c>
      <c r="G129" s="2" t="s">
        <v>217</v>
      </c>
      <c r="H129" s="2" t="s">
        <v>175</v>
      </c>
      <c r="I129" s="2" t="s">
        <v>196</v>
      </c>
      <c r="J129" s="31">
        <v>33204</v>
      </c>
      <c r="K129" s="2" t="s">
        <v>207</v>
      </c>
      <c r="L129" s="2" t="s">
        <v>212</v>
      </c>
    </row>
    <row r="130" spans="1:12" ht="18" customHeight="1" x14ac:dyDescent="0.25">
      <c r="A130" s="1" t="s">
        <v>136</v>
      </c>
      <c r="B130" s="1" t="s">
        <v>161</v>
      </c>
      <c r="C130" s="20">
        <v>45672</v>
      </c>
      <c r="D130" s="1" t="s">
        <v>216</v>
      </c>
      <c r="E130" s="20">
        <v>45682</v>
      </c>
      <c r="F130" s="1">
        <v>10</v>
      </c>
      <c r="G130" s="1" t="s">
        <v>220</v>
      </c>
      <c r="H130" s="1" t="s">
        <v>169</v>
      </c>
      <c r="I130" s="1" t="s">
        <v>196</v>
      </c>
      <c r="J130" s="30">
        <v>41196</v>
      </c>
      <c r="K130" s="1" t="s">
        <v>209</v>
      </c>
      <c r="L130" s="1" t="s">
        <v>212</v>
      </c>
    </row>
    <row r="131" spans="1:12" x14ac:dyDescent="0.25">
      <c r="A131" s="2" t="s">
        <v>137</v>
      </c>
      <c r="B131" s="2" t="s">
        <v>161</v>
      </c>
      <c r="C131" s="21">
        <v>45698</v>
      </c>
      <c r="D131" s="2" t="s">
        <v>219</v>
      </c>
      <c r="E131" s="21">
        <v>45707</v>
      </c>
      <c r="F131" s="2">
        <v>9</v>
      </c>
      <c r="G131" s="2" t="s">
        <v>220</v>
      </c>
      <c r="H131" s="2" t="s">
        <v>191</v>
      </c>
      <c r="I131" s="2" t="s">
        <v>204</v>
      </c>
      <c r="J131" s="31">
        <v>33958</v>
      </c>
      <c r="K131" s="2" t="s">
        <v>207</v>
      </c>
      <c r="L131" s="2" t="s">
        <v>212</v>
      </c>
    </row>
    <row r="132" spans="1:12" x14ac:dyDescent="0.25">
      <c r="A132" s="1" t="s">
        <v>138</v>
      </c>
      <c r="B132" s="1" t="s">
        <v>164</v>
      </c>
      <c r="C132" s="20">
        <v>45663</v>
      </c>
      <c r="D132" s="1" t="s">
        <v>216</v>
      </c>
      <c r="E132" s="20">
        <v>45670</v>
      </c>
      <c r="F132" s="1">
        <v>7</v>
      </c>
      <c r="G132" s="1" t="s">
        <v>217</v>
      </c>
      <c r="H132" s="1" t="s">
        <v>176</v>
      </c>
      <c r="I132" s="1" t="s">
        <v>206</v>
      </c>
      <c r="J132" s="30">
        <v>21392</v>
      </c>
      <c r="K132" s="1" t="s">
        <v>207</v>
      </c>
      <c r="L132" s="1" t="s">
        <v>212</v>
      </c>
    </row>
    <row r="133" spans="1:12" x14ac:dyDescent="0.25">
      <c r="A133" s="2" t="s">
        <v>139</v>
      </c>
      <c r="B133" s="2" t="s">
        <v>161</v>
      </c>
      <c r="C133" s="21">
        <v>45661</v>
      </c>
      <c r="D133" s="2" t="s">
        <v>216</v>
      </c>
      <c r="E133" s="21">
        <v>45674</v>
      </c>
      <c r="F133" s="2">
        <v>13</v>
      </c>
      <c r="G133" s="2" t="s">
        <v>220</v>
      </c>
      <c r="H133" s="2" t="s">
        <v>169</v>
      </c>
      <c r="I133" s="2" t="s">
        <v>196</v>
      </c>
      <c r="J133" s="31">
        <v>40823</v>
      </c>
      <c r="K133" s="2" t="s">
        <v>208</v>
      </c>
      <c r="L133" s="2" t="s">
        <v>212</v>
      </c>
    </row>
    <row r="134" spans="1:12" x14ac:dyDescent="0.25">
      <c r="A134" s="1" t="s">
        <v>140</v>
      </c>
      <c r="B134" s="1" t="s">
        <v>158</v>
      </c>
      <c r="C134" s="20">
        <v>45686</v>
      </c>
      <c r="D134" s="1" t="s">
        <v>216</v>
      </c>
      <c r="E134" s="20">
        <v>45699</v>
      </c>
      <c r="F134" s="1">
        <v>13</v>
      </c>
      <c r="G134" s="1" t="s">
        <v>220</v>
      </c>
      <c r="H134" s="1" t="s">
        <v>165</v>
      </c>
      <c r="I134" s="1" t="s">
        <v>193</v>
      </c>
      <c r="J134" s="30">
        <v>27252</v>
      </c>
      <c r="K134" s="1" t="s">
        <v>207</v>
      </c>
      <c r="L134" s="1" t="s">
        <v>212</v>
      </c>
    </row>
    <row r="135" spans="1:12" x14ac:dyDescent="0.25">
      <c r="A135" s="2" t="s">
        <v>141</v>
      </c>
      <c r="B135" s="2" t="s">
        <v>158</v>
      </c>
      <c r="C135" s="21">
        <v>45667</v>
      </c>
      <c r="D135" s="2" t="s">
        <v>216</v>
      </c>
      <c r="E135" s="21">
        <v>45677</v>
      </c>
      <c r="F135" s="2">
        <v>10</v>
      </c>
      <c r="G135" s="2" t="s">
        <v>220</v>
      </c>
      <c r="H135" s="2" t="s">
        <v>174</v>
      </c>
      <c r="I135" s="2" t="s">
        <v>198</v>
      </c>
      <c r="J135" s="31">
        <v>45683</v>
      </c>
      <c r="K135" s="2" t="s">
        <v>208</v>
      </c>
      <c r="L135" s="2" t="s">
        <v>212</v>
      </c>
    </row>
    <row r="136" spans="1:12" x14ac:dyDescent="0.25">
      <c r="A136" s="1" t="s">
        <v>142</v>
      </c>
      <c r="B136" s="1" t="s">
        <v>159</v>
      </c>
      <c r="C136" s="20">
        <v>45746</v>
      </c>
      <c r="D136" s="1" t="s">
        <v>221</v>
      </c>
      <c r="E136" s="20">
        <v>45750</v>
      </c>
      <c r="F136" s="1">
        <v>4</v>
      </c>
      <c r="G136" s="1" t="s">
        <v>217</v>
      </c>
      <c r="H136" s="1" t="s">
        <v>179</v>
      </c>
      <c r="I136" s="1" t="s">
        <v>200</v>
      </c>
      <c r="J136" s="30">
        <v>28967</v>
      </c>
      <c r="K136" s="1" t="s">
        <v>207</v>
      </c>
      <c r="L136" s="1" t="s">
        <v>212</v>
      </c>
    </row>
    <row r="137" spans="1:12" x14ac:dyDescent="0.25">
      <c r="A137" s="2" t="s">
        <v>143</v>
      </c>
      <c r="B137" s="2" t="s">
        <v>164</v>
      </c>
      <c r="C137" s="21">
        <v>45665</v>
      </c>
      <c r="D137" s="2" t="s">
        <v>216</v>
      </c>
      <c r="E137" s="21">
        <v>45667</v>
      </c>
      <c r="F137" s="2">
        <v>2</v>
      </c>
      <c r="G137" s="2" t="s">
        <v>222</v>
      </c>
      <c r="H137" s="2" t="s">
        <v>176</v>
      </c>
      <c r="I137" s="2" t="s">
        <v>206</v>
      </c>
      <c r="J137" s="31">
        <v>58599</v>
      </c>
      <c r="K137" s="2" t="s">
        <v>207</v>
      </c>
      <c r="L137" s="2" t="s">
        <v>213</v>
      </c>
    </row>
    <row r="138" spans="1:12" x14ac:dyDescent="0.25">
      <c r="A138" s="1" t="s">
        <v>144</v>
      </c>
      <c r="B138" s="1" t="s">
        <v>161</v>
      </c>
      <c r="C138" s="20">
        <v>45660</v>
      </c>
      <c r="D138" s="1" t="s">
        <v>216</v>
      </c>
      <c r="E138" s="20">
        <v>45661</v>
      </c>
      <c r="F138" s="1">
        <v>1</v>
      </c>
      <c r="G138" s="1" t="s">
        <v>222</v>
      </c>
      <c r="H138" s="1" t="s">
        <v>191</v>
      </c>
      <c r="I138" s="1" t="s">
        <v>196</v>
      </c>
      <c r="J138" s="30">
        <v>30601</v>
      </c>
      <c r="K138" s="1" t="s">
        <v>207</v>
      </c>
      <c r="L138" s="1" t="s">
        <v>212</v>
      </c>
    </row>
    <row r="139" spans="1:12" x14ac:dyDescent="0.25">
      <c r="A139" s="2" t="s">
        <v>145</v>
      </c>
      <c r="B139" s="2" t="s">
        <v>159</v>
      </c>
      <c r="C139" s="21">
        <v>45717</v>
      </c>
      <c r="D139" s="2" t="s">
        <v>221</v>
      </c>
      <c r="E139" s="21">
        <v>45722</v>
      </c>
      <c r="F139" s="2">
        <v>5</v>
      </c>
      <c r="G139" s="2" t="s">
        <v>217</v>
      </c>
      <c r="H139" s="2" t="s">
        <v>166</v>
      </c>
      <c r="I139" s="2" t="s">
        <v>194</v>
      </c>
      <c r="J139" s="31">
        <v>36135</v>
      </c>
      <c r="K139" s="2" t="s">
        <v>207</v>
      </c>
      <c r="L139" s="2" t="s">
        <v>212</v>
      </c>
    </row>
    <row r="140" spans="1:12" x14ac:dyDescent="0.25">
      <c r="A140" s="1" t="s">
        <v>146</v>
      </c>
      <c r="B140" s="1" t="s">
        <v>158</v>
      </c>
      <c r="C140" s="20">
        <v>45710</v>
      </c>
      <c r="D140" s="1" t="s">
        <v>219</v>
      </c>
      <c r="E140" s="20">
        <v>45719</v>
      </c>
      <c r="F140" s="1">
        <v>9</v>
      </c>
      <c r="G140" s="1" t="s">
        <v>220</v>
      </c>
      <c r="H140" s="1" t="s">
        <v>184</v>
      </c>
      <c r="I140" s="1" t="s">
        <v>198</v>
      </c>
      <c r="J140" s="30">
        <v>49762</v>
      </c>
      <c r="K140" s="1" t="s">
        <v>207</v>
      </c>
      <c r="L140" s="1" t="s">
        <v>212</v>
      </c>
    </row>
    <row r="141" spans="1:12" x14ac:dyDescent="0.25">
      <c r="A141" s="2" t="s">
        <v>147</v>
      </c>
      <c r="B141" s="2" t="s">
        <v>159</v>
      </c>
      <c r="C141" s="21">
        <v>45725</v>
      </c>
      <c r="D141" s="2" t="s">
        <v>221</v>
      </c>
      <c r="E141" s="21"/>
      <c r="F141" s="2"/>
      <c r="G141" s="2" t="s">
        <v>218</v>
      </c>
      <c r="H141" s="2" t="s">
        <v>179</v>
      </c>
      <c r="I141" s="2" t="s">
        <v>194</v>
      </c>
      <c r="J141" s="31">
        <v>25230</v>
      </c>
      <c r="K141" s="2" t="s">
        <v>207</v>
      </c>
      <c r="L141" s="2" t="s">
        <v>212</v>
      </c>
    </row>
    <row r="142" spans="1:12" x14ac:dyDescent="0.25">
      <c r="A142" s="1" t="s">
        <v>148</v>
      </c>
      <c r="B142" s="1" t="s">
        <v>159</v>
      </c>
      <c r="C142" s="20">
        <v>45681</v>
      </c>
      <c r="D142" s="1" t="s">
        <v>216</v>
      </c>
      <c r="E142" s="20"/>
      <c r="F142" s="1"/>
      <c r="G142" s="1" t="s">
        <v>218</v>
      </c>
      <c r="H142" s="1" t="s">
        <v>179</v>
      </c>
      <c r="I142" s="1" t="s">
        <v>194</v>
      </c>
      <c r="J142" s="30">
        <v>42730</v>
      </c>
      <c r="K142" s="1" t="s">
        <v>207</v>
      </c>
      <c r="L142" s="1" t="s">
        <v>212</v>
      </c>
    </row>
    <row r="143" spans="1:12" x14ac:dyDescent="0.25">
      <c r="A143" s="2" t="s">
        <v>149</v>
      </c>
      <c r="B143" s="2" t="s">
        <v>161</v>
      </c>
      <c r="C143" s="21">
        <v>45678</v>
      </c>
      <c r="D143" s="2" t="s">
        <v>216</v>
      </c>
      <c r="E143" s="21">
        <v>45679</v>
      </c>
      <c r="F143" s="2">
        <v>1</v>
      </c>
      <c r="G143" s="2" t="s">
        <v>222</v>
      </c>
      <c r="H143" s="2" t="s">
        <v>168</v>
      </c>
      <c r="I143" s="2" t="s">
        <v>204</v>
      </c>
      <c r="J143" s="31">
        <v>55686</v>
      </c>
      <c r="K143" s="2" t="s">
        <v>207</v>
      </c>
      <c r="L143" s="2" t="s">
        <v>213</v>
      </c>
    </row>
    <row r="144" spans="1:12" x14ac:dyDescent="0.25">
      <c r="A144" s="1" t="s">
        <v>150</v>
      </c>
      <c r="B144" s="1" t="s">
        <v>162</v>
      </c>
      <c r="C144" s="20">
        <v>45727</v>
      </c>
      <c r="D144" s="1" t="s">
        <v>221</v>
      </c>
      <c r="E144" s="20">
        <v>45740</v>
      </c>
      <c r="F144" s="1">
        <v>13</v>
      </c>
      <c r="G144" s="1" t="s">
        <v>220</v>
      </c>
      <c r="H144" s="1" t="s">
        <v>171</v>
      </c>
      <c r="I144" s="1" t="s">
        <v>197</v>
      </c>
      <c r="J144" s="30">
        <v>20710</v>
      </c>
      <c r="K144" s="1" t="s">
        <v>207</v>
      </c>
      <c r="L144" s="1" t="s">
        <v>212</v>
      </c>
    </row>
    <row r="145" spans="1:12" x14ac:dyDescent="0.25">
      <c r="A145" s="2" t="s">
        <v>151</v>
      </c>
      <c r="B145" s="2" t="s">
        <v>163</v>
      </c>
      <c r="C145" s="21">
        <v>45664</v>
      </c>
      <c r="D145" s="2" t="s">
        <v>216</v>
      </c>
      <c r="E145" s="21">
        <v>45673</v>
      </c>
      <c r="F145" s="2">
        <v>9</v>
      </c>
      <c r="G145" s="2" t="s">
        <v>220</v>
      </c>
      <c r="H145" s="2" t="s">
        <v>172</v>
      </c>
      <c r="I145" s="2" t="s">
        <v>199</v>
      </c>
      <c r="J145" s="31">
        <v>42216</v>
      </c>
      <c r="K145" s="2" t="s">
        <v>207</v>
      </c>
      <c r="L145" s="2" t="s">
        <v>212</v>
      </c>
    </row>
    <row r="146" spans="1:12" x14ac:dyDescent="0.25">
      <c r="A146" s="1" t="s">
        <v>152</v>
      </c>
      <c r="B146" s="1" t="s">
        <v>163</v>
      </c>
      <c r="C146" s="20">
        <v>45700</v>
      </c>
      <c r="D146" s="1" t="s">
        <v>219</v>
      </c>
      <c r="E146" s="20">
        <v>45713</v>
      </c>
      <c r="F146" s="1">
        <v>13</v>
      </c>
      <c r="G146" s="1" t="s">
        <v>220</v>
      </c>
      <c r="H146" s="1" t="s">
        <v>172</v>
      </c>
      <c r="I146" s="1" t="s">
        <v>205</v>
      </c>
      <c r="J146" s="30">
        <v>43119</v>
      </c>
      <c r="K146" s="1" t="s">
        <v>208</v>
      </c>
      <c r="L146" s="1" t="s">
        <v>212</v>
      </c>
    </row>
    <row r="147" spans="1:12" x14ac:dyDescent="0.25">
      <c r="A147" s="2" t="s">
        <v>153</v>
      </c>
      <c r="B147" s="2" t="s">
        <v>160</v>
      </c>
      <c r="C147" s="21">
        <v>45709</v>
      </c>
      <c r="D147" s="2" t="s">
        <v>219</v>
      </c>
      <c r="E147" s="21">
        <v>45722</v>
      </c>
      <c r="F147" s="2">
        <v>13</v>
      </c>
      <c r="G147" s="2" t="s">
        <v>220</v>
      </c>
      <c r="H147" s="2" t="s">
        <v>167</v>
      </c>
      <c r="I147" s="2" t="s">
        <v>195</v>
      </c>
      <c r="J147" s="31">
        <v>49382</v>
      </c>
      <c r="K147" s="2" t="s">
        <v>207</v>
      </c>
      <c r="L147" s="2" t="s">
        <v>212</v>
      </c>
    </row>
    <row r="148" spans="1:12" x14ac:dyDescent="0.25">
      <c r="A148" s="1" t="s">
        <v>154</v>
      </c>
      <c r="B148" s="1" t="s">
        <v>159</v>
      </c>
      <c r="C148" s="20">
        <v>45702</v>
      </c>
      <c r="D148" s="1" t="s">
        <v>219</v>
      </c>
      <c r="E148" s="20">
        <v>45716</v>
      </c>
      <c r="F148" s="1">
        <v>14</v>
      </c>
      <c r="G148" s="1" t="s">
        <v>220</v>
      </c>
      <c r="H148" s="1" t="s">
        <v>179</v>
      </c>
      <c r="I148" s="1" t="s">
        <v>200</v>
      </c>
      <c r="J148" s="30">
        <v>25157</v>
      </c>
      <c r="K148" s="1" t="s">
        <v>207</v>
      </c>
      <c r="L148" s="1" t="s">
        <v>212</v>
      </c>
    </row>
    <row r="149" spans="1:12" x14ac:dyDescent="0.25">
      <c r="A149" s="2" t="s">
        <v>155</v>
      </c>
      <c r="B149" s="2" t="s">
        <v>158</v>
      </c>
      <c r="C149" s="21">
        <v>45696</v>
      </c>
      <c r="D149" s="2" t="s">
        <v>219</v>
      </c>
      <c r="E149" s="21">
        <v>45700</v>
      </c>
      <c r="F149" s="2">
        <v>4</v>
      </c>
      <c r="G149" s="2" t="s">
        <v>217</v>
      </c>
      <c r="H149" s="2" t="s">
        <v>184</v>
      </c>
      <c r="I149" s="2" t="s">
        <v>193</v>
      </c>
      <c r="J149" s="31">
        <v>24155</v>
      </c>
      <c r="K149" s="2" t="s">
        <v>208</v>
      </c>
      <c r="L149" s="2" t="s">
        <v>212</v>
      </c>
    </row>
    <row r="150" spans="1:12" x14ac:dyDescent="0.25">
      <c r="A150" s="1" t="s">
        <v>156</v>
      </c>
      <c r="B150" s="1" t="s">
        <v>163</v>
      </c>
      <c r="C150" s="20">
        <v>45741</v>
      </c>
      <c r="D150" s="1" t="s">
        <v>221</v>
      </c>
      <c r="E150" s="20">
        <v>45742</v>
      </c>
      <c r="F150" s="1">
        <v>1</v>
      </c>
      <c r="G150" s="1" t="s">
        <v>222</v>
      </c>
      <c r="H150" s="1" t="s">
        <v>186</v>
      </c>
      <c r="I150" s="1" t="s">
        <v>199</v>
      </c>
      <c r="J150" s="30">
        <v>46263</v>
      </c>
      <c r="K150" s="1" t="s">
        <v>207</v>
      </c>
      <c r="L150" s="1" t="s">
        <v>212</v>
      </c>
    </row>
    <row r="151" spans="1:12" x14ac:dyDescent="0.25">
      <c r="A151" s="2" t="s">
        <v>157</v>
      </c>
      <c r="B151" s="2" t="s">
        <v>160</v>
      </c>
      <c r="C151" s="21">
        <v>45691</v>
      </c>
      <c r="D151" s="2" t="s">
        <v>219</v>
      </c>
      <c r="E151" s="21">
        <v>45697</v>
      </c>
      <c r="F151" s="2">
        <v>6</v>
      </c>
      <c r="G151" s="2" t="s">
        <v>217</v>
      </c>
      <c r="H151" s="2" t="s">
        <v>188</v>
      </c>
      <c r="I151" s="2" t="s">
        <v>195</v>
      </c>
      <c r="J151" s="31">
        <v>43564</v>
      </c>
      <c r="K151" s="2" t="s">
        <v>207</v>
      </c>
      <c r="L151" s="2" t="s">
        <v>212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FBED-C9DD-4154-863E-F5DC9363C64D}">
  <dimension ref="A2:Q28"/>
  <sheetViews>
    <sheetView workbookViewId="0">
      <selection activeCell="D1" sqref="D1"/>
    </sheetView>
  </sheetViews>
  <sheetFormatPr defaultRowHeight="15" x14ac:dyDescent="0.25"/>
  <cols>
    <col min="1" max="1" width="18.85546875" bestFit="1" customWidth="1"/>
    <col min="2" max="2" width="18.5703125" bestFit="1" customWidth="1"/>
    <col min="6" max="6" width="16.85546875" bestFit="1" customWidth="1"/>
    <col min="7" max="7" width="25" bestFit="1" customWidth="1"/>
    <col min="10" max="10" width="16.85546875" bestFit="1" customWidth="1"/>
    <col min="11" max="11" width="15.42578125" bestFit="1" customWidth="1"/>
    <col min="12" max="12" width="12.7109375" bestFit="1" customWidth="1"/>
    <col min="13" max="13" width="9.85546875" bestFit="1" customWidth="1"/>
    <col min="14" max="14" width="13.42578125" bestFit="1" customWidth="1"/>
    <col min="15" max="15" width="11.28515625" bestFit="1" customWidth="1"/>
    <col min="16" max="16" width="18.42578125" bestFit="1" customWidth="1"/>
    <col min="17" max="17" width="18.5703125" bestFit="1" customWidth="1"/>
  </cols>
  <sheetData>
    <row r="2" spans="1:17" x14ac:dyDescent="0.25">
      <c r="A2" s="7" t="s">
        <v>226</v>
      </c>
      <c r="F2" s="7" t="s">
        <v>229</v>
      </c>
      <c r="J2" s="7" t="s">
        <v>232</v>
      </c>
      <c r="P2" s="7" t="s">
        <v>235</v>
      </c>
    </row>
    <row r="3" spans="1:17" x14ac:dyDescent="0.25">
      <c r="A3" s="4" t="s">
        <v>1</v>
      </c>
      <c r="B3" t="s">
        <v>228</v>
      </c>
      <c r="F3" s="4" t="s">
        <v>1</v>
      </c>
      <c r="G3" t="s">
        <v>227</v>
      </c>
      <c r="J3" s="4" t="s">
        <v>215</v>
      </c>
      <c r="K3" t="s">
        <v>228</v>
      </c>
      <c r="P3" s="4" t="s">
        <v>233</v>
      </c>
      <c r="Q3" s="10" t="s">
        <v>228</v>
      </c>
    </row>
    <row r="4" spans="1:17" x14ac:dyDescent="0.25">
      <c r="A4" s="5" t="s">
        <v>164</v>
      </c>
      <c r="B4" s="11">
        <v>9.3333333333333338E-2</v>
      </c>
      <c r="F4" s="5" t="s">
        <v>164</v>
      </c>
      <c r="G4" s="8">
        <v>40915.071428571428</v>
      </c>
      <c r="J4" s="5" t="s">
        <v>220</v>
      </c>
      <c r="K4" s="10">
        <v>0.52</v>
      </c>
      <c r="P4" s="5" t="s">
        <v>209</v>
      </c>
      <c r="Q4" s="10">
        <v>3.3333333333333333E-2</v>
      </c>
    </row>
    <row r="5" spans="1:17" x14ac:dyDescent="0.25">
      <c r="A5" s="5" t="s">
        <v>159</v>
      </c>
      <c r="B5" s="11">
        <v>0.16666666666666666</v>
      </c>
      <c r="F5" s="5" t="s">
        <v>159</v>
      </c>
      <c r="G5" s="8">
        <v>39626.480000000003</v>
      </c>
      <c r="J5" s="5" t="s">
        <v>217</v>
      </c>
      <c r="K5" s="10">
        <v>0.22</v>
      </c>
      <c r="P5" s="5" t="s">
        <v>207</v>
      </c>
      <c r="Q5" s="10">
        <v>0.82666666666666666</v>
      </c>
    </row>
    <row r="6" spans="1:17" x14ac:dyDescent="0.25">
      <c r="A6" s="5" t="s">
        <v>162</v>
      </c>
      <c r="B6" s="11">
        <v>0.16</v>
      </c>
      <c r="F6" s="5" t="s">
        <v>162</v>
      </c>
      <c r="G6" s="8">
        <v>37801.875</v>
      </c>
      <c r="J6" s="5" t="s">
        <v>222</v>
      </c>
      <c r="K6" s="10">
        <v>0.20666666666666667</v>
      </c>
      <c r="P6" s="5" t="s">
        <v>208</v>
      </c>
      <c r="Q6" s="10">
        <v>0.14000000000000001</v>
      </c>
    </row>
    <row r="7" spans="1:17" x14ac:dyDescent="0.25">
      <c r="A7" s="5" t="s">
        <v>161</v>
      </c>
      <c r="B7" s="11">
        <v>0.16</v>
      </c>
      <c r="F7" s="5" t="s">
        <v>161</v>
      </c>
      <c r="G7" s="8">
        <v>38481.041666666664</v>
      </c>
      <c r="J7" s="5" t="s">
        <v>218</v>
      </c>
      <c r="K7" s="10">
        <v>5.3333333333333337E-2</v>
      </c>
      <c r="P7" s="5" t="s">
        <v>225</v>
      </c>
      <c r="Q7" s="10">
        <v>1</v>
      </c>
    </row>
    <row r="8" spans="1:17" x14ac:dyDescent="0.25">
      <c r="A8" s="5" t="s">
        <v>158</v>
      </c>
      <c r="B8" s="11">
        <v>0.13333333333333333</v>
      </c>
      <c r="F8" s="5" t="s">
        <v>158</v>
      </c>
      <c r="G8" s="8">
        <v>39975.449999999997</v>
      </c>
      <c r="J8" s="5" t="s">
        <v>225</v>
      </c>
      <c r="K8" s="10">
        <v>1</v>
      </c>
      <c r="P8" s="9" t="s">
        <v>234</v>
      </c>
    </row>
    <row r="9" spans="1:17" x14ac:dyDescent="0.25">
      <c r="A9" s="5" t="s">
        <v>160</v>
      </c>
      <c r="B9" s="11">
        <v>0.16</v>
      </c>
      <c r="F9" s="5" t="s">
        <v>160</v>
      </c>
      <c r="G9" s="8">
        <v>37586.875</v>
      </c>
      <c r="J9" s="9" t="s">
        <v>231</v>
      </c>
    </row>
    <row r="10" spans="1:17" x14ac:dyDescent="0.25">
      <c r="A10" s="5" t="s">
        <v>163</v>
      </c>
      <c r="B10" s="11">
        <v>0.12666666666666668</v>
      </c>
      <c r="F10" s="5" t="s">
        <v>163</v>
      </c>
      <c r="G10" s="8">
        <v>37809.799999999996</v>
      </c>
    </row>
    <row r="11" spans="1:17" x14ac:dyDescent="0.25">
      <c r="A11" s="5" t="s">
        <v>225</v>
      </c>
      <c r="B11" s="11">
        <v>1</v>
      </c>
      <c r="F11" s="5" t="s">
        <v>225</v>
      </c>
      <c r="G11" s="8">
        <v>38761.621333333336</v>
      </c>
      <c r="J11" s="4" t="s">
        <v>240</v>
      </c>
      <c r="K11" s="4" t="s">
        <v>215</v>
      </c>
    </row>
    <row r="12" spans="1:17" x14ac:dyDescent="0.25">
      <c r="A12" s="9" t="s">
        <v>230</v>
      </c>
      <c r="J12" s="4" t="s">
        <v>224</v>
      </c>
      <c r="K12" t="s">
        <v>220</v>
      </c>
      <c r="L12" t="s">
        <v>217</v>
      </c>
      <c r="M12" t="s">
        <v>222</v>
      </c>
      <c r="N12" t="s">
        <v>218</v>
      </c>
      <c r="O12" t="s">
        <v>225</v>
      </c>
    </row>
    <row r="13" spans="1:17" x14ac:dyDescent="0.25">
      <c r="J13" s="5" t="s">
        <v>164</v>
      </c>
      <c r="K13" s="11">
        <v>2.6666666666666668E-2</v>
      </c>
      <c r="L13" s="11">
        <v>0.02</v>
      </c>
      <c r="M13" s="11">
        <v>4.6666666666666669E-2</v>
      </c>
      <c r="N13" s="11">
        <v>0</v>
      </c>
      <c r="O13" s="11">
        <v>9.3333333333333338E-2</v>
      </c>
    </row>
    <row r="14" spans="1:17" x14ac:dyDescent="0.25">
      <c r="A14" s="7" t="s">
        <v>236</v>
      </c>
      <c r="J14" s="5" t="s">
        <v>159</v>
      </c>
      <c r="K14" s="11">
        <v>7.3333333333333334E-2</v>
      </c>
      <c r="L14" s="11">
        <v>4.6666666666666669E-2</v>
      </c>
      <c r="M14" s="11">
        <v>2.6666666666666668E-2</v>
      </c>
      <c r="N14" s="11">
        <v>0.02</v>
      </c>
      <c r="O14" s="11">
        <v>0.16666666666666666</v>
      </c>
    </row>
    <row r="15" spans="1:17" x14ac:dyDescent="0.25">
      <c r="A15" t="s">
        <v>237</v>
      </c>
      <c r="J15" s="5" t="s">
        <v>162</v>
      </c>
      <c r="K15" s="11">
        <v>0.06</v>
      </c>
      <c r="L15" s="11">
        <v>0.06</v>
      </c>
      <c r="M15" s="11">
        <v>3.3333333333333333E-2</v>
      </c>
      <c r="N15" s="11">
        <v>6.6666666666666671E-3</v>
      </c>
      <c r="O15" s="11">
        <v>0.16</v>
      </c>
    </row>
    <row r="16" spans="1:17" x14ac:dyDescent="0.25">
      <c r="A16" s="6">
        <v>150</v>
      </c>
      <c r="J16" s="5" t="s">
        <v>161</v>
      </c>
      <c r="K16" s="11">
        <v>0.1</v>
      </c>
      <c r="L16" s="11">
        <v>2.6666666666666668E-2</v>
      </c>
      <c r="M16" s="11">
        <v>2.6666666666666668E-2</v>
      </c>
      <c r="N16" s="11">
        <v>6.6666666666666671E-3</v>
      </c>
      <c r="O16" s="11">
        <v>0.16</v>
      </c>
    </row>
    <row r="17" spans="10:15" x14ac:dyDescent="0.25">
      <c r="J17" s="5" t="s">
        <v>158</v>
      </c>
      <c r="K17" s="11">
        <v>8.666666666666667E-2</v>
      </c>
      <c r="L17" s="11">
        <v>2.6666666666666668E-2</v>
      </c>
      <c r="M17" s="11">
        <v>1.3333333333333334E-2</v>
      </c>
      <c r="N17" s="11">
        <v>6.6666666666666671E-3</v>
      </c>
      <c r="O17" s="11">
        <v>0.13333333333333333</v>
      </c>
    </row>
    <row r="18" spans="10:15" x14ac:dyDescent="0.25">
      <c r="J18" s="5" t="s">
        <v>160</v>
      </c>
      <c r="K18" s="11">
        <v>9.3333333333333338E-2</v>
      </c>
      <c r="L18" s="11">
        <v>3.3333333333333333E-2</v>
      </c>
      <c r="M18" s="11">
        <v>2.6666666666666668E-2</v>
      </c>
      <c r="N18" s="11">
        <v>6.6666666666666671E-3</v>
      </c>
      <c r="O18" s="11">
        <v>0.16</v>
      </c>
    </row>
    <row r="19" spans="10:15" x14ac:dyDescent="0.25">
      <c r="J19" s="5" t="s">
        <v>163</v>
      </c>
      <c r="K19" s="11">
        <v>0.08</v>
      </c>
      <c r="L19" s="11">
        <v>6.6666666666666671E-3</v>
      </c>
      <c r="M19" s="11">
        <v>3.3333333333333333E-2</v>
      </c>
      <c r="N19" s="11">
        <v>6.6666666666666671E-3</v>
      </c>
      <c r="O19" s="11">
        <v>0.12666666666666668</v>
      </c>
    </row>
    <row r="20" spans="10:15" x14ac:dyDescent="0.25">
      <c r="J20" s="5" t="s">
        <v>225</v>
      </c>
      <c r="K20" s="11">
        <v>0.52</v>
      </c>
      <c r="L20" s="11">
        <v>0.22</v>
      </c>
      <c r="M20" s="11">
        <v>0.20666666666666667</v>
      </c>
      <c r="N20" s="11">
        <v>5.3333333333333337E-2</v>
      </c>
      <c r="O20" s="11">
        <v>1</v>
      </c>
    </row>
    <row r="28" spans="10:15" x14ac:dyDescent="0.25">
      <c r="J28" t="s">
        <v>241</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C13A-1088-4C79-AE0F-237D85758ABD}">
  <dimension ref="A2:Z13"/>
  <sheetViews>
    <sheetView showGridLines="0" workbookViewId="0">
      <selection activeCell="J22" sqref="J22"/>
    </sheetView>
  </sheetViews>
  <sheetFormatPr defaultRowHeight="15" x14ac:dyDescent="0.25"/>
  <sheetData>
    <row r="2" spans="1:26" x14ac:dyDescent="0.25">
      <c r="A2" s="12" t="s">
        <v>238</v>
      </c>
      <c r="B2" s="13"/>
      <c r="C2" s="13"/>
      <c r="D2" s="13"/>
      <c r="E2" s="13"/>
      <c r="F2" s="13"/>
      <c r="G2" s="13"/>
      <c r="H2" s="13"/>
      <c r="I2" s="13"/>
      <c r="J2" s="13"/>
      <c r="K2" s="13"/>
      <c r="L2" s="13"/>
      <c r="M2" s="13"/>
      <c r="N2" s="13"/>
      <c r="O2" s="13"/>
      <c r="P2" s="13"/>
      <c r="Q2" s="13"/>
      <c r="R2" s="13"/>
      <c r="S2" s="13"/>
      <c r="T2" s="13"/>
      <c r="U2" s="13"/>
      <c r="V2" s="13"/>
      <c r="W2" s="13"/>
      <c r="X2" s="13"/>
      <c r="Y2" s="13"/>
      <c r="Z2" s="13"/>
    </row>
    <row r="3" spans="1:26" x14ac:dyDescent="0.25">
      <c r="A3" s="13" t="s">
        <v>245</v>
      </c>
      <c r="B3" s="13"/>
      <c r="C3" s="13"/>
      <c r="D3" s="13"/>
      <c r="E3" s="13"/>
      <c r="F3" s="13"/>
      <c r="G3" s="13"/>
      <c r="H3" s="13"/>
      <c r="I3" s="13"/>
      <c r="J3" s="13"/>
      <c r="K3" s="13"/>
      <c r="L3" s="13"/>
      <c r="M3" s="13"/>
      <c r="N3" s="13"/>
      <c r="O3" s="13"/>
      <c r="P3" s="13"/>
      <c r="Q3" s="13"/>
      <c r="R3" s="13"/>
      <c r="S3" s="13"/>
      <c r="T3" s="13"/>
      <c r="U3" s="13"/>
      <c r="V3" s="13"/>
      <c r="W3" s="13"/>
      <c r="X3" s="13"/>
      <c r="Y3" s="13"/>
      <c r="Z3" s="13"/>
    </row>
    <row r="4" spans="1:26" x14ac:dyDescent="0.25">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x14ac:dyDescent="0.25">
      <c r="A5" s="12" t="s">
        <v>242</v>
      </c>
      <c r="B5" s="13"/>
      <c r="C5" s="13"/>
      <c r="D5" s="13"/>
      <c r="E5" s="13"/>
      <c r="F5" s="13"/>
      <c r="G5" s="13"/>
      <c r="H5" s="13"/>
      <c r="I5" s="13"/>
      <c r="J5" s="13"/>
      <c r="K5" s="13"/>
      <c r="L5" s="13"/>
      <c r="M5" s="13"/>
      <c r="N5" s="13"/>
      <c r="O5" s="13"/>
      <c r="P5" s="13"/>
      <c r="Q5" s="13"/>
      <c r="R5" s="13"/>
      <c r="S5" s="13"/>
      <c r="T5" s="13"/>
      <c r="U5" s="13"/>
      <c r="V5" s="13"/>
      <c r="W5" s="13"/>
      <c r="X5" s="13"/>
      <c r="Y5" s="13"/>
      <c r="Z5" s="13"/>
    </row>
    <row r="6" spans="1:26" x14ac:dyDescent="0.25">
      <c r="A6" s="13" t="s">
        <v>246</v>
      </c>
      <c r="B6" s="13"/>
      <c r="C6" s="13"/>
      <c r="D6" s="13"/>
      <c r="E6" s="13"/>
      <c r="F6" s="13"/>
      <c r="G6" s="13"/>
      <c r="H6" s="13"/>
      <c r="I6" s="13"/>
      <c r="J6" s="13"/>
      <c r="K6" s="13"/>
      <c r="L6" s="13"/>
      <c r="M6" s="13"/>
      <c r="N6" s="13"/>
      <c r="O6" s="13"/>
      <c r="P6" s="13"/>
      <c r="Q6" s="13"/>
      <c r="R6" s="13"/>
      <c r="S6" s="13"/>
      <c r="T6" s="13"/>
      <c r="U6" s="13"/>
      <c r="V6" s="13"/>
      <c r="W6" s="13"/>
      <c r="X6" s="13"/>
      <c r="Y6" s="13"/>
      <c r="Z6" s="13"/>
    </row>
    <row r="7" spans="1:26" x14ac:dyDescent="0.25">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x14ac:dyDescent="0.25">
      <c r="A8" s="12" t="s">
        <v>243</v>
      </c>
      <c r="B8" s="13"/>
      <c r="C8" s="13"/>
      <c r="D8" s="13"/>
      <c r="E8" s="13"/>
      <c r="F8" s="13"/>
      <c r="G8" s="13"/>
      <c r="H8" s="13"/>
      <c r="I8" s="13"/>
      <c r="J8" s="13"/>
      <c r="K8" s="13"/>
      <c r="L8" s="13"/>
      <c r="M8" s="13"/>
      <c r="N8" s="13"/>
      <c r="O8" s="13"/>
      <c r="P8" s="13"/>
      <c r="Q8" s="13"/>
      <c r="R8" s="13"/>
      <c r="S8" s="13"/>
      <c r="T8" s="13"/>
      <c r="U8" s="13"/>
      <c r="V8" s="13"/>
      <c r="W8" s="13"/>
      <c r="X8" s="13"/>
      <c r="Y8" s="13"/>
      <c r="Z8" s="13"/>
    </row>
    <row r="9" spans="1:26" x14ac:dyDescent="0.25">
      <c r="A9" s="13" t="s">
        <v>247</v>
      </c>
      <c r="B9" s="13"/>
      <c r="C9" s="13"/>
      <c r="D9" s="13"/>
      <c r="E9" s="13"/>
      <c r="F9" s="13"/>
      <c r="G9" s="13"/>
      <c r="H9" s="13"/>
      <c r="I9" s="13"/>
      <c r="J9" s="13"/>
      <c r="K9" s="13"/>
      <c r="L9" s="13"/>
      <c r="M9" s="13"/>
      <c r="N9" s="13"/>
      <c r="O9" s="13"/>
      <c r="P9" s="13"/>
      <c r="Q9" s="13"/>
      <c r="R9" s="13"/>
      <c r="S9" s="13"/>
      <c r="T9" s="13"/>
      <c r="U9" s="13"/>
      <c r="V9" s="13"/>
      <c r="W9" s="13"/>
      <c r="X9" s="13"/>
      <c r="Y9" s="13"/>
      <c r="Z9" s="13"/>
    </row>
    <row r="10" spans="1:26"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x14ac:dyDescent="0.25">
      <c r="A11" s="12" t="s">
        <v>244</v>
      </c>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x14ac:dyDescent="0.25">
      <c r="A12" s="13" t="s">
        <v>239</v>
      </c>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6DD5-A02B-4F56-BAA7-C78B8A6A6CB4}">
  <dimension ref="A1:R64"/>
  <sheetViews>
    <sheetView showGridLines="0" tabSelected="1" zoomScale="95" zoomScaleNormal="95" workbookViewId="0">
      <selection activeCell="T3" sqref="T3"/>
    </sheetView>
  </sheetViews>
  <sheetFormatPr defaultRowHeight="15" x14ac:dyDescent="0.25"/>
  <cols>
    <col min="1" max="1" width="16.85546875" bestFit="1" customWidth="1"/>
    <col min="2" max="2" width="17.140625" bestFit="1" customWidth="1"/>
    <col min="3" max="3" width="26.140625" bestFit="1" customWidth="1"/>
    <col min="4" max="4" width="13.42578125" bestFit="1" customWidth="1"/>
    <col min="5" max="5" width="19.42578125" bestFit="1" customWidth="1"/>
    <col min="8" max="8" width="13.42578125" bestFit="1" customWidth="1"/>
    <col min="9" max="9" width="25.140625" bestFit="1" customWidth="1"/>
    <col min="15" max="15" width="13.42578125" bestFit="1" customWidth="1"/>
    <col min="16" max="17" width="18.140625" bestFit="1" customWidth="1"/>
    <col min="58" max="58" width="12.140625" bestFit="1" customWidth="1"/>
  </cols>
  <sheetData>
    <row r="1" spans="1:18" ht="15" customHeight="1" x14ac:dyDescent="0.25">
      <c r="A1" s="35" t="s">
        <v>250</v>
      </c>
      <c r="B1" s="35"/>
      <c r="C1" s="35"/>
      <c r="D1" s="33" t="s">
        <v>254</v>
      </c>
      <c r="E1" s="33"/>
      <c r="F1" s="33"/>
      <c r="G1" s="33"/>
      <c r="J1" s="34" t="s">
        <v>255</v>
      </c>
      <c r="K1" s="34"/>
      <c r="L1" s="34"/>
      <c r="M1" s="34"/>
      <c r="P1" s="34" t="s">
        <v>258</v>
      </c>
      <c r="Q1" s="34"/>
      <c r="R1" s="34"/>
    </row>
    <row r="2" spans="1:18" ht="15" customHeight="1" x14ac:dyDescent="0.25">
      <c r="A2" s="35"/>
      <c r="B2" s="35"/>
      <c r="C2" s="35"/>
      <c r="D2" s="33"/>
      <c r="E2" s="33"/>
      <c r="F2" s="33"/>
      <c r="G2" s="33"/>
      <c r="J2" s="34"/>
      <c r="K2" s="34"/>
      <c r="L2" s="34"/>
      <c r="M2" s="34"/>
      <c r="P2" s="34"/>
      <c r="Q2" s="34"/>
      <c r="R2" s="34"/>
    </row>
    <row r="3" spans="1:18" x14ac:dyDescent="0.25">
      <c r="A3" s="14"/>
      <c r="B3" s="24"/>
      <c r="C3" s="14"/>
      <c r="D3" s="14"/>
      <c r="E3" s="14"/>
      <c r="F3" s="14"/>
    </row>
    <row r="4" spans="1:18" x14ac:dyDescent="0.25">
      <c r="B4" s="23"/>
      <c r="C4" s="23"/>
    </row>
    <row r="5" spans="1:18" s="14" customFormat="1" x14ac:dyDescent="0.25">
      <c r="C5" s="24"/>
    </row>
    <row r="6" spans="1:18" x14ac:dyDescent="0.25">
      <c r="A6" s="4" t="s">
        <v>224</v>
      </c>
      <c r="B6" t="s">
        <v>257</v>
      </c>
      <c r="D6" s="25"/>
      <c r="E6" s="25"/>
      <c r="F6" s="25"/>
      <c r="G6" s="25"/>
      <c r="H6" s="4" t="s">
        <v>224</v>
      </c>
      <c r="I6" t="s">
        <v>227</v>
      </c>
    </row>
    <row r="7" spans="1:18" x14ac:dyDescent="0.25">
      <c r="A7" s="5" t="s">
        <v>164</v>
      </c>
      <c r="B7" s="10">
        <v>9.3333333333333338E-2</v>
      </c>
      <c r="D7" s="25"/>
      <c r="E7" s="25"/>
      <c r="F7" s="25"/>
      <c r="G7" s="25"/>
      <c r="H7" s="5" t="s">
        <v>203</v>
      </c>
      <c r="I7" s="29">
        <v>37836.699999999997</v>
      </c>
      <c r="O7" s="4" t="s">
        <v>224</v>
      </c>
      <c r="P7" t="s">
        <v>256</v>
      </c>
    </row>
    <row r="8" spans="1:18" x14ac:dyDescent="0.25">
      <c r="A8" s="5" t="s">
        <v>159</v>
      </c>
      <c r="B8" s="10">
        <v>0.16666666666666666</v>
      </c>
      <c r="D8" s="25"/>
      <c r="E8" s="25"/>
      <c r="F8" s="25"/>
      <c r="G8" s="25"/>
      <c r="H8" s="5" t="s">
        <v>197</v>
      </c>
      <c r="I8" s="29">
        <v>39698.294117647056</v>
      </c>
      <c r="O8" s="5" t="s">
        <v>216</v>
      </c>
      <c r="P8" s="6">
        <v>53</v>
      </c>
    </row>
    <row r="9" spans="1:18" x14ac:dyDescent="0.25">
      <c r="A9" s="5" t="s">
        <v>162</v>
      </c>
      <c r="B9" s="10">
        <v>0.16</v>
      </c>
      <c r="D9" s="25"/>
      <c r="E9" s="25"/>
      <c r="F9" s="25"/>
      <c r="G9" s="25"/>
      <c r="H9" s="5" t="s">
        <v>200</v>
      </c>
      <c r="I9" s="29">
        <v>37749.333333333336</v>
      </c>
      <c r="O9" s="5" t="s">
        <v>219</v>
      </c>
      <c r="P9" s="6">
        <v>52</v>
      </c>
    </row>
    <row r="10" spans="1:18" x14ac:dyDescent="0.25">
      <c r="A10" s="5" t="s">
        <v>161</v>
      </c>
      <c r="B10" s="10">
        <v>0.16</v>
      </c>
      <c r="D10" s="25"/>
      <c r="E10" s="25"/>
      <c r="F10" s="25"/>
      <c r="G10" s="25"/>
      <c r="H10" s="5" t="s">
        <v>199</v>
      </c>
      <c r="I10" s="29">
        <v>35079.37142857143</v>
      </c>
      <c r="O10" s="5" t="s">
        <v>221</v>
      </c>
      <c r="P10" s="6">
        <v>44</v>
      </c>
    </row>
    <row r="11" spans="1:18" x14ac:dyDescent="0.25">
      <c r="A11" s="5" t="s">
        <v>158</v>
      </c>
      <c r="B11" s="10">
        <v>0.13333333333333333</v>
      </c>
      <c r="D11" s="25"/>
      <c r="E11" s="25"/>
      <c r="F11" s="25"/>
      <c r="G11" s="25"/>
      <c r="H11" s="5" t="s">
        <v>195</v>
      </c>
      <c r="I11" s="29">
        <v>37408.428571428572</v>
      </c>
      <c r="O11" s="5" t="s">
        <v>223</v>
      </c>
      <c r="P11" s="6">
        <v>1</v>
      </c>
    </row>
    <row r="12" spans="1:18" x14ac:dyDescent="0.25">
      <c r="A12" s="5" t="s">
        <v>160</v>
      </c>
      <c r="B12" s="10">
        <v>0.16</v>
      </c>
      <c r="D12" s="25"/>
      <c r="E12" s="25"/>
      <c r="F12" s="25"/>
      <c r="G12" s="25"/>
      <c r="H12" s="5" t="s">
        <v>193</v>
      </c>
      <c r="I12" s="29">
        <v>35751.333333333336</v>
      </c>
      <c r="O12" s="5" t="s">
        <v>225</v>
      </c>
      <c r="P12" s="6">
        <v>150</v>
      </c>
    </row>
    <row r="13" spans="1:18" x14ac:dyDescent="0.25">
      <c r="A13" s="5" t="s">
        <v>163</v>
      </c>
      <c r="B13" s="10">
        <v>0.12666666666666668</v>
      </c>
      <c r="D13" s="25"/>
      <c r="E13" s="25"/>
      <c r="F13" s="25"/>
      <c r="G13" s="25"/>
      <c r="H13" s="5" t="s">
        <v>206</v>
      </c>
      <c r="I13" s="29">
        <v>44505.2</v>
      </c>
    </row>
    <row r="14" spans="1:18" x14ac:dyDescent="0.25">
      <c r="A14" s="5" t="s">
        <v>225</v>
      </c>
      <c r="B14" s="10">
        <v>1</v>
      </c>
      <c r="D14" s="25"/>
      <c r="E14" s="25"/>
      <c r="F14" s="25"/>
      <c r="G14" s="26"/>
      <c r="H14" s="5" t="s">
        <v>194</v>
      </c>
      <c r="I14" s="29">
        <v>42442.2</v>
      </c>
    </row>
    <row r="15" spans="1:18" x14ac:dyDescent="0.25">
      <c r="D15" s="25"/>
      <c r="E15" s="25"/>
      <c r="F15" s="25"/>
      <c r="G15" s="25"/>
      <c r="H15" s="5" t="s">
        <v>202</v>
      </c>
      <c r="I15" s="29">
        <v>33196.285714285717</v>
      </c>
    </row>
    <row r="16" spans="1:18" x14ac:dyDescent="0.25">
      <c r="D16" s="25"/>
      <c r="E16" s="25"/>
      <c r="F16" s="25"/>
      <c r="G16" s="25"/>
      <c r="H16" s="5" t="s">
        <v>201</v>
      </c>
      <c r="I16" s="29">
        <v>31939.75</v>
      </c>
    </row>
    <row r="17" spans="4:9" x14ac:dyDescent="0.25">
      <c r="D17" s="25"/>
      <c r="E17" s="25"/>
      <c r="F17" s="25"/>
      <c r="G17" s="25"/>
      <c r="H17" s="5" t="s">
        <v>205</v>
      </c>
      <c r="I17" s="29">
        <v>45455</v>
      </c>
    </row>
    <row r="18" spans="4:9" x14ac:dyDescent="0.25">
      <c r="D18" s="25"/>
      <c r="E18" s="25"/>
      <c r="F18" s="25"/>
      <c r="G18" s="25"/>
      <c r="H18" s="5" t="s">
        <v>196</v>
      </c>
      <c r="I18" s="29">
        <v>39395.928571428572</v>
      </c>
    </row>
    <row r="19" spans="4:9" x14ac:dyDescent="0.25">
      <c r="D19" s="25"/>
      <c r="E19" s="25"/>
      <c r="F19" s="25"/>
      <c r="G19" s="25"/>
      <c r="H19" s="5" t="s">
        <v>198</v>
      </c>
      <c r="I19" s="29">
        <v>46311.625</v>
      </c>
    </row>
    <row r="20" spans="4:9" x14ac:dyDescent="0.25">
      <c r="D20" s="25"/>
      <c r="E20" s="25"/>
      <c r="F20" s="25"/>
      <c r="G20" s="25"/>
      <c r="H20" s="5" t="s">
        <v>204</v>
      </c>
      <c r="I20" s="29">
        <v>37200.199999999997</v>
      </c>
    </row>
    <row r="21" spans="4:9" x14ac:dyDescent="0.25">
      <c r="D21" s="25"/>
      <c r="E21" s="25"/>
      <c r="F21" s="25"/>
      <c r="G21" s="25"/>
      <c r="H21" s="5" t="s">
        <v>225</v>
      </c>
      <c r="I21" s="29">
        <v>38761.621333333336</v>
      </c>
    </row>
    <row r="22" spans="4:9" x14ac:dyDescent="0.25">
      <c r="D22" s="25"/>
      <c r="E22" s="25"/>
      <c r="F22" s="25"/>
      <c r="G22" s="25"/>
      <c r="I22" s="32"/>
    </row>
    <row r="29" spans="4:9" x14ac:dyDescent="0.25">
      <c r="D29" s="4" t="s">
        <v>224</v>
      </c>
      <c r="E29" s="27" t="s">
        <v>256</v>
      </c>
    </row>
    <row r="30" spans="4:9" x14ac:dyDescent="0.25">
      <c r="D30" s="5" t="s">
        <v>209</v>
      </c>
      <c r="E30" s="11">
        <v>3.3333333333333333E-2</v>
      </c>
    </row>
    <row r="31" spans="4:9" x14ac:dyDescent="0.25">
      <c r="D31" s="5" t="s">
        <v>207</v>
      </c>
      <c r="E31" s="11">
        <v>0.82666666666666666</v>
      </c>
    </row>
    <row r="32" spans="4:9" x14ac:dyDescent="0.25">
      <c r="D32" s="5" t="s">
        <v>208</v>
      </c>
      <c r="E32" s="11">
        <v>0.14000000000000001</v>
      </c>
    </row>
    <row r="33" spans="4:5" x14ac:dyDescent="0.25">
      <c r="D33" s="5" t="s">
        <v>225</v>
      </c>
      <c r="E33" s="11">
        <v>1</v>
      </c>
    </row>
    <row r="53" spans="1:3" x14ac:dyDescent="0.25">
      <c r="A53" s="16" t="s">
        <v>252</v>
      </c>
      <c r="B53" s="16"/>
    </row>
    <row r="54" spans="1:3" x14ac:dyDescent="0.25">
      <c r="A54" s="16" t="s">
        <v>248</v>
      </c>
      <c r="B54" s="16" t="s">
        <v>249</v>
      </c>
    </row>
    <row r="55" spans="1:3" x14ac:dyDescent="0.25">
      <c r="A55" s="15" t="s">
        <v>250</v>
      </c>
      <c r="B55" s="15">
        <f>COUNTA(HospitalData[Patient ID])</f>
        <v>150</v>
      </c>
    </row>
    <row r="56" spans="1:3" x14ac:dyDescent="0.25">
      <c r="A56" s="15" t="s">
        <v>254</v>
      </c>
      <c r="B56" s="17">
        <f>AVERAGE(HospitalData[Treatment Cost])</f>
        <v>38761.621333333336</v>
      </c>
    </row>
    <row r="57" spans="1:3" x14ac:dyDescent="0.25">
      <c r="A57" s="15" t="s">
        <v>255</v>
      </c>
      <c r="B57" s="18">
        <f>AVERAGE(HospitalData[Lenght Of Stay])</f>
        <v>7.697183098591549</v>
      </c>
    </row>
    <row r="58" spans="1:3" x14ac:dyDescent="0.25">
      <c r="A58" s="15" t="s">
        <v>251</v>
      </c>
      <c r="B58" s="15" t="str">
        <f>TEXT(MIN(HospitalData[Admission Date]),"dd-mmm") &amp; " to " &amp; TEXT(MAX(HospitalData[Admission Date]),"dd-mmm")</f>
        <v>01-Jan to 01-Apr</v>
      </c>
    </row>
    <row r="59" spans="1:3" x14ac:dyDescent="0.25">
      <c r="C59" s="16"/>
    </row>
    <row r="60" spans="1:3" x14ac:dyDescent="0.25">
      <c r="C60" s="16" t="s">
        <v>253</v>
      </c>
    </row>
    <row r="61" spans="1:3" x14ac:dyDescent="0.25">
      <c r="C61" s="15"/>
    </row>
    <row r="62" spans="1:3" x14ac:dyDescent="0.25">
      <c r="C62" s="15"/>
    </row>
    <row r="63" spans="1:3" x14ac:dyDescent="0.25">
      <c r="C63" s="15"/>
    </row>
    <row r="64" spans="1:3" x14ac:dyDescent="0.25">
      <c r="C64" s="15"/>
    </row>
  </sheetData>
  <mergeCells count="4">
    <mergeCell ref="D1:G2"/>
    <mergeCell ref="J1:M2"/>
    <mergeCell ref="P1:R2"/>
    <mergeCell ref="A1:C2"/>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283525-E003-4DBA-9199-DFB1670EE0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Hospital_Admissions</vt:lpstr>
      <vt:lpstr>Pivot_Analysis</vt:lpstr>
      <vt:lpstr>Insights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herbert cheruiyot</dc:creator>
  <cp:lastModifiedBy>Herbert Cheruiyot</cp:lastModifiedBy>
  <dcterms:created xsi:type="dcterms:W3CDTF">2025-10-13T07:27:20Z</dcterms:created>
  <dcterms:modified xsi:type="dcterms:W3CDTF">2025-11-05T08:55:12Z</dcterms:modified>
</cp:coreProperties>
</file>